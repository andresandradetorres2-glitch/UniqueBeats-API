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d.docs.live.net/6b201f1b35f28745/Software Development/SENA/"/>
    </mc:Choice>
  </mc:AlternateContent>
  <xr:revisionPtr revIDLastSave="13" documentId="8_{68244BA5-63B8-41EA-BB74-F572B9F7155A}" xr6:coauthVersionLast="47" xr6:coauthVersionMax="47" xr10:uidLastSave="{B7E54C13-F06E-B540-B8B5-C72284125FB7}"/>
  <bookViews>
    <workbookView xWindow="-120" yWindow="-120" windowWidth="20640" windowHeight="11160" activeTab="3" xr2:uid="{00000000-000D-0000-FFFF-FFFF00000000}"/>
  </bookViews>
  <sheets>
    <sheet name="🎓 ADSO Tracker" sheetId="1" r:id="rId1"/>
    <sheet name="Lista Desplegable" sheetId="4" state="hidden" r:id="rId2"/>
    <sheet name="📊  Dashboard" sheetId="3" r:id="rId3"/>
    <sheet name="⏰ Expired" sheetId="5" r:id="rId4"/>
    <sheet name="⏳Expired Soon" sheetId="6" r:id="rId5"/>
  </sheets>
  <calcPr calcId="191028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B14" i="3"/>
  <c r="Q14" i="3"/>
  <c r="F66" i="1"/>
  <c r="F2" i="1"/>
  <c r="E14" i="3"/>
  <c r="F3" i="1"/>
  <c r="K14" i="3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N14" i="3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2" i="1"/>
  <c r="A2" i="6" a="1"/>
  <c r="A2" i="6"/>
  <c r="H2" i="6"/>
  <c r="A2" i="5" a="1"/>
  <c r="H14" i="3"/>
  <c r="F2" i="5"/>
  <c r="F3" i="5"/>
  <c r="F7" i="5"/>
  <c r="F11" i="5"/>
  <c r="F15" i="5"/>
  <c r="F19" i="5"/>
  <c r="F23" i="5"/>
  <c r="F27" i="5"/>
  <c r="F8" i="5"/>
  <c r="F12" i="5"/>
  <c r="F16" i="5"/>
  <c r="F20" i="5"/>
  <c r="F24" i="5"/>
  <c r="F28" i="5"/>
  <c r="F9" i="5"/>
  <c r="F13" i="5"/>
  <c r="F17" i="5"/>
  <c r="F21" i="5"/>
  <c r="F25" i="5"/>
  <c r="F29" i="5"/>
  <c r="F10" i="5"/>
  <c r="F14" i="5"/>
  <c r="F18" i="5"/>
  <c r="F22" i="5"/>
  <c r="F26" i="5"/>
  <c r="F4" i="5"/>
  <c r="F5" i="5"/>
  <c r="F6" i="5"/>
  <c r="A2" i="5"/>
  <c r="H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<sst xmlns="http://schemas.openxmlformats.org/spreadsheetml/2006/main" count="227" uniqueCount="151">
  <si>
    <t>Tarea</t>
  </si>
  <si>
    <t>Código</t>
  </si>
  <si>
    <t>Fecha de Apertura</t>
  </si>
  <si>
    <t>Fecha Límite</t>
  </si>
  <si>
    <t>¿Vencida?</t>
  </si>
  <si>
    <t>¿Entregada?</t>
  </si>
  <si>
    <t>Calificación</t>
  </si>
  <si>
    <t>Infografía sobre la teoría general de sistemas</t>
  </si>
  <si>
    <t>GA1-220501092-AA1-EV01</t>
  </si>
  <si>
    <t>A</t>
  </si>
  <si>
    <t>Mapa de procesos del software a construir</t>
  </si>
  <si>
    <t>GA1-220501092-AA1-EV03</t>
  </si>
  <si>
    <t>Mapa mental sobre ingeniería de requisitos</t>
  </si>
  <si>
    <t>GA1-220501092-AA2-EV01</t>
  </si>
  <si>
    <t>Diseño del instrumento de recolección de información</t>
  </si>
  <si>
    <t>GA1-220501092-AA3-EV01</t>
  </si>
  <si>
    <t>Formulación del proyecto de software</t>
  </si>
  <si>
    <t>GA1-220501092-AA3-EV02</t>
  </si>
  <si>
    <t>Especificación de los requerimientos funcionales y no funcionales</t>
  </si>
  <si>
    <t>GA1-220501092-AA4-EV01</t>
  </si>
  <si>
    <t>Taller especificaciones funcionales y metodología</t>
  </si>
  <si>
    <t>GA1-220501092-AA5-EV01</t>
  </si>
  <si>
    <t>Mapa conceptual - Software y servicios de internet</t>
  </si>
  <si>
    <t>GA1-220501046-AA1-EV01</t>
  </si>
  <si>
    <t>Taller herramientas de ofimática</t>
  </si>
  <si>
    <t>GA1-220501046-AA2-EV01</t>
  </si>
  <si>
    <t>Informe mejora de productos con TIC</t>
  </si>
  <si>
    <t>GA1-220501046-AA3-EV01</t>
  </si>
  <si>
    <t>Video presentación (Inglés)</t>
  </si>
  <si>
    <t>GA1-240202501-AA1-EV02</t>
  </si>
  <si>
    <t>Cuestionario (Inglés GA1)</t>
  </si>
  <si>
    <t>GA1-240202501-AA1-EV01</t>
  </si>
  <si>
    <t>Folleto (Inglés)</t>
  </si>
  <si>
    <t>GA1-240202501-AA1-EV03</t>
  </si>
  <si>
    <t>Diagramas UML con Star UML</t>
  </si>
  <si>
    <t>GA2-220501093-AA1-EV01</t>
  </si>
  <si>
    <t>Diagramas modelo de dominio del proyecto</t>
  </si>
  <si>
    <t>GA2-220501093-AA2-EV01</t>
  </si>
  <si>
    <t>Fichas técnicas hardware/software y presupuestos</t>
  </si>
  <si>
    <t>GA2-220501094-AA1-EV02</t>
  </si>
  <si>
    <t>Ficha técnica, términos de referencia y lista de chequeo</t>
  </si>
  <si>
    <t>GA2-220501094-AA2-EV01</t>
  </si>
  <si>
    <t>Propuesta técnica y económica</t>
  </si>
  <si>
    <t>GA2-220501094-AA4-EV02</t>
  </si>
  <si>
    <t>Cuestionario procedimientos aritméticos</t>
  </si>
  <si>
    <t>GA2-240201528-AA1-EV01</t>
  </si>
  <si>
    <t>Planteamiento de ecuación</t>
  </si>
  <si>
    <t>GA2-240201528-AA2-EV01</t>
  </si>
  <si>
    <t>Video sustentación (matemáticas)</t>
  </si>
  <si>
    <t>GA2-240201528-AA3-EV01</t>
  </si>
  <si>
    <t>-</t>
  </si>
  <si>
    <t>Algoritmo cálculo de áreas y volúmenes</t>
  </si>
  <si>
    <t>GA2-240201528-AA4-EV01</t>
  </si>
  <si>
    <t>Cuestionario (Inglés GA2-AA1)</t>
  </si>
  <si>
    <t>GA2-240202501-AA1-EV01</t>
  </si>
  <si>
    <t>Video entrevista virtual (Inglés)</t>
  </si>
  <si>
    <t>GA2-240202501-AA1-EV02</t>
  </si>
  <si>
    <t>Crónica (Inglés)</t>
  </si>
  <si>
    <t>GA2-240202501-AA1-EV03</t>
  </si>
  <si>
    <t>Cuestionario (Inglés GA2-AA2)</t>
  </si>
  <si>
    <t>GA2-240202501-AA2-EV01</t>
  </si>
  <si>
    <t>Presentación (Inglés GA2-AA2)</t>
  </si>
  <si>
    <t>GA2-240202501-AA2-EV02</t>
  </si>
  <si>
    <t>Documento escrito (Inglés GA2-AA2)</t>
  </si>
  <si>
    <t>GA2-240202501-AA2-EV03</t>
  </si>
  <si>
    <t>Bases conceptuales de lógica proposicional</t>
  </si>
  <si>
    <t>GA3-220501093-AA1-EV01</t>
  </si>
  <si>
    <t>Taller pseudocódigo y diagramas de flujo</t>
  </si>
  <si>
    <t>GA3-220501093-AA1-EV02</t>
  </si>
  <si>
    <t>Fundamentos programación estructurada y cíclica</t>
  </si>
  <si>
    <t>GA3-220501093-AA2-EV01</t>
  </si>
  <si>
    <t>Taller funciones y procedimientos en algoritmos</t>
  </si>
  <si>
    <t>GA3-220501093-AA2-EV03</t>
  </si>
  <si>
    <t>Bases teóricas estructuras de almacenamiento</t>
  </si>
  <si>
    <t>GA3-220501093-AA3-EV01</t>
  </si>
  <si>
    <t>Resolución problemas con estructuras de almacenamiento</t>
  </si>
  <si>
    <t>GA3-220501093-AA3-EV02</t>
  </si>
  <si>
    <t>Cuestionario (Ciencias GA3)</t>
  </si>
  <si>
    <t>GA3-220201501-AA1-EV01</t>
  </si>
  <si>
    <t>Video expositivo experimento GA3-AA2</t>
  </si>
  <si>
    <t>GA3-220201501-AA2-EV01</t>
  </si>
  <si>
    <t>Informe de laboratorio</t>
  </si>
  <si>
    <t>GA3-220201501-AA3-EV01</t>
  </si>
  <si>
    <t>Video expositivo experimento GA3-AA4</t>
  </si>
  <si>
    <t>GA3-220201501-AA4-EV01</t>
  </si>
  <si>
    <t>Bitácora de procesos</t>
  </si>
  <si>
    <t>GA3-220201501-AA4-EV02</t>
  </si>
  <si>
    <t>Cuestionario (Inglés GA3-AA1)</t>
  </si>
  <si>
    <t>GA3-240202501-AA1-EV01</t>
  </si>
  <si>
    <t>Audio (Inglés GA3-AA1)</t>
  </si>
  <si>
    <t>GA3-240202501-AA1-EV02</t>
  </si>
  <si>
    <t>Cuestionario (Inglés GA3-AA2)</t>
  </si>
  <si>
    <t>GA3-240202501-AA2-EV01</t>
  </si>
  <si>
    <t>Audio (Inglés GA3-AA2)</t>
  </si>
  <si>
    <t>GA3-240202501-AA2-EV02</t>
  </si>
  <si>
    <t>Diseñar modelo conceptual y lógico (caso de estudio)</t>
  </si>
  <si>
    <t>GA4-220501095-AA1-EV01</t>
  </si>
  <si>
    <t>Modelo conceptual y lógico del proyecto</t>
  </si>
  <si>
    <t>GA4-220501095-AA1-EV02</t>
  </si>
  <si>
    <t>Taller programación orientada a objetos</t>
  </si>
  <si>
    <t>GA4-220501095-AA2-EV01</t>
  </si>
  <si>
    <t>Bases UML y patrones de diseño</t>
  </si>
  <si>
    <t>GA4-220501095-AA2-EV03</t>
  </si>
  <si>
    <t>Diagrama de clases del proyecto</t>
  </si>
  <si>
    <t>GA4-220501095-AA2-EV04</t>
  </si>
  <si>
    <t>Arquitectura de software según patrón de diseño</t>
  </si>
  <si>
    <t>GA4-220501095-AA2-EV05</t>
  </si>
  <si>
    <t>Diagrama de despliegue para proyecto de software</t>
  </si>
  <si>
    <t>GA4-220501095-AA3-EV03</t>
  </si>
  <si>
    <t>Taller sobre validación de documentos</t>
  </si>
  <si>
    <t>GA4-220501095-AA4-EV01</t>
  </si>
  <si>
    <t>Video - La comunicación como expresión humana</t>
  </si>
  <si>
    <t>GA4-240201524-AA1-EV01</t>
  </si>
  <si>
    <t>Informe - Creación de contenidos comunicativos</t>
  </si>
  <si>
    <t>GA4-240201524-AA2-EV01</t>
  </si>
  <si>
    <t>Cuestionario (Inglés GA4)</t>
  </si>
  <si>
    <t>GA4-240202501-AA1-EV01</t>
  </si>
  <si>
    <t>Mapa mental PLE</t>
  </si>
  <si>
    <t>GA4-240202501-AA1-EV02</t>
  </si>
  <si>
    <t>Taller construcción del prototipo del software</t>
  </si>
  <si>
    <t>GA5-220501095-AA1-EV01</t>
  </si>
  <si>
    <t>Maquetación interfaz gráfica en HTML</t>
  </si>
  <si>
    <t>GA5-220501095-AA1-EV04</t>
  </si>
  <si>
    <t>Mapa de navegación</t>
  </si>
  <si>
    <t>GA5-220501095-AA1-EV05</t>
  </si>
  <si>
    <t>Nociones usabilidad y accesibilidad app móvil</t>
  </si>
  <si>
    <t>GA5-220501095-AA1-EV06</t>
  </si>
  <si>
    <t>Elaboración interfaz gráfica y mapa de navegación app móvil</t>
  </si>
  <si>
    <t>GA5-220501095-AA1-EV07</t>
  </si>
  <si>
    <t>Maquetación interfaz gráfica en XML - Android</t>
  </si>
  <si>
    <t>GA5-220501095-AA1-EV08</t>
  </si>
  <si>
    <t>Mapa mental características socioeconómicas y tecnológicas</t>
  </si>
  <si>
    <t>GA5-240201064-AA1-EV01</t>
  </si>
  <si>
    <t>Propuesta de investigación formativa</t>
  </si>
  <si>
    <t>GA5-240201064-AA2-EV01</t>
  </si>
  <si>
    <t>Diagrama de flujo proceso laboral (Inglés)</t>
  </si>
  <si>
    <t>GA5-240202501-AA1-EV01</t>
  </si>
  <si>
    <t>Video etapas básicas proceso empresa (Inglés)</t>
  </si>
  <si>
    <t>GA5-240202501-AA1-EV03</t>
  </si>
  <si>
    <t>PENDIENTE</t>
  </si>
  <si>
    <t>🎓 KPI Dashboard -  ADSO Academic Performance</t>
  </si>
  <si>
    <t>Estado</t>
  </si>
  <si>
    <t>Dias Vencido</t>
  </si>
  <si>
    <t>Due Date</t>
  </si>
  <si>
    <t>TOTAL PENDIENTE</t>
  </si>
  <si>
    <t>Completada</t>
  </si>
  <si>
    <t>Pendiente</t>
  </si>
  <si>
    <t>Proxima</t>
  </si>
  <si>
    <t>Grand Total</t>
  </si>
  <si>
    <t>Row Labels</t>
  </si>
  <si>
    <t>Count of Estado2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</si>
</sst>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0"/>
      <name val="Montserrat"/>
    </font>
    <font>
      <b/>
      <sz val="10"/>
      <color theme="0"/>
      <name val="Montserrat"/>
    </font>
    <font>
      <b/>
      <sz val="9"/>
      <color theme="0"/>
      <name val="Montserrat"/>
    </font>
    <font>
      <b/>
      <sz val="20"/>
      <color theme="0"/>
      <name val="Montserrat ExtraBold"/>
    </font>
    <font>
      <sz val="8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Montserrat"/>
    </font>
    <font>
      <b/>
      <sz val="10"/>
      <color theme="1"/>
      <name val="Montserrat"/>
    </font>
  </fonts>
  <fills count="8">
    <fill>
      <patternFill patternType="none"/>
    </fill>
    <fill>
      <patternFill patternType="gray125"/>
    </fill>
    <fill>
      <patternFill patternType="solid">
        <fgColor rgb="FF0A1128"/>
        <bgColor indexed="64"/>
      </patternFill>
    </fill>
    <fill>
      <patternFill patternType="solid">
        <fgColor rgb="FF001F54"/>
        <bgColor indexed="64"/>
      </patternFill>
    </fill>
    <fill>
      <patternFill patternType="solid">
        <fgColor rgb="FF034078"/>
        <bgColor indexed="64"/>
      </patternFill>
    </fill>
    <fill>
      <patternFill patternType="solid">
        <fgColor rgb="FF1282A2"/>
        <bgColor indexed="64"/>
      </patternFill>
    </fill>
    <fill>
      <patternFill patternType="solid">
        <fgColor rgb="FF034078"/>
        <bgColor theme="4"/>
      </patternFill>
    </fill>
    <fill>
      <patternFill patternType="solid">
        <fgColor rgb="FF034078"/>
        <bgColor rgb="FF4F81BD"/>
      </patternFill>
    </fill>
  </fills>
  <borders count="11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0" fillId="0" borderId="0" xfId="0" applyAlignment="1"/>
    <xf numFmtId="14" fontId="0" fillId="0" borderId="0" xfId="0" applyNumberFormat="1"/>
    <xf numFmtId="0" fontId="0" fillId="0" borderId="0" xfId="0" applyNumberFormat="1" applyAlignment="1"/>
    <xf numFmtId="0" fontId="1" fillId="0" borderId="1" xfId="0" applyFont="1" applyFill="1" applyBorder="1" applyAlignment="1">
      <alignment horizontal="left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2" xfId="0" applyBorder="1"/>
    <xf numFmtId="0" fontId="1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left" vertical="center"/>
    </xf>
    <xf numFmtId="0" fontId="1" fillId="0" borderId="7" xfId="0" applyFont="1" applyFill="1" applyBorder="1" applyAlignment="1">
      <alignment horizontal="left" vertical="center"/>
    </xf>
    <xf numFmtId="14" fontId="1" fillId="0" borderId="7" xfId="0" applyNumberFormat="1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49" fontId="0" fillId="2" borderId="0" xfId="0" applyNumberFormat="1" applyFill="1" applyAlignment="1">
      <alignment horizontal="centerContinuous"/>
    </xf>
    <xf numFmtId="0" fontId="7" fillId="3" borderId="0" xfId="0" applyFont="1" applyFill="1"/>
    <xf numFmtId="0" fontId="7" fillId="0" borderId="0" xfId="0" applyFont="1"/>
    <xf numFmtId="0" fontId="7" fillId="3" borderId="0" xfId="0" applyFont="1" applyFill="1" applyAlignment="1"/>
    <xf numFmtId="9" fontId="7" fillId="3" borderId="0" xfId="1" applyFont="1" applyFill="1"/>
    <xf numFmtId="49" fontId="9" fillId="2" borderId="0" xfId="0" applyNumberFormat="1" applyFont="1" applyFill="1" applyAlignment="1">
      <alignment horizontal="centerContinuous"/>
    </xf>
    <xf numFmtId="0" fontId="4" fillId="0" borderId="0" xfId="0" applyFont="1"/>
    <xf numFmtId="0" fontId="0" fillId="4" borderId="0" xfId="0" applyFill="1"/>
    <xf numFmtId="0" fontId="4" fillId="4" borderId="0" xfId="0" applyFont="1" applyFill="1"/>
    <xf numFmtId="0" fontId="6" fillId="4" borderId="0" xfId="0" applyFont="1" applyFill="1"/>
    <xf numFmtId="0" fontId="7" fillId="4" borderId="0" xfId="0" applyFont="1" applyFill="1"/>
    <xf numFmtId="0" fontId="10" fillId="0" borderId="0" xfId="0" applyFont="1"/>
    <xf numFmtId="0" fontId="2" fillId="4" borderId="0" xfId="0" applyFont="1" applyFill="1"/>
    <xf numFmtId="0" fontId="8" fillId="4" borderId="0" xfId="0" applyFont="1" applyFill="1"/>
    <xf numFmtId="0" fontId="10" fillId="4" borderId="0" xfId="0" applyFont="1" applyFill="1"/>
    <xf numFmtId="0" fontId="7" fillId="6" borderId="2" xfId="0" applyFont="1" applyFill="1" applyBorder="1" applyAlignment="1">
      <alignment horizontal="center" vertical="center"/>
    </xf>
    <xf numFmtId="14" fontId="7" fillId="6" borderId="2" xfId="0" applyNumberFormat="1" applyFont="1" applyFill="1" applyBorder="1" applyAlignment="1">
      <alignment horizontal="center" vertical="center"/>
    </xf>
    <xf numFmtId="0" fontId="0" fillId="0" borderId="8" xfId="0" applyBorder="1"/>
    <xf numFmtId="0" fontId="11" fillId="5" borderId="2" xfId="0" applyFont="1" applyFill="1" applyBorder="1" applyAlignment="1"/>
    <xf numFmtId="0" fontId="11" fillId="5" borderId="2" xfId="0" applyFont="1" applyFill="1" applyBorder="1"/>
    <xf numFmtId="14" fontId="11" fillId="5" borderId="2" xfId="0" applyNumberFormat="1" applyFont="1" applyFill="1" applyBorder="1"/>
    <xf numFmtId="0" fontId="11" fillId="5" borderId="2" xfId="0" applyNumberFormat="1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 vertical="center"/>
    </xf>
    <xf numFmtId="14" fontId="7" fillId="6" borderId="9" xfId="0" applyNumberFormat="1" applyFont="1" applyFill="1" applyBorder="1" applyAlignment="1">
      <alignment horizontal="center" vertical="center"/>
    </xf>
    <xf numFmtId="0" fontId="0" fillId="5" borderId="9" xfId="0" applyFill="1" applyBorder="1"/>
    <xf numFmtId="0" fontId="12" fillId="5" borderId="9" xfId="0" applyFont="1" applyFill="1" applyBorder="1" applyAlignment="1"/>
    <xf numFmtId="0" fontId="12" fillId="5" borderId="9" xfId="0" applyFont="1" applyFill="1" applyBorder="1"/>
    <xf numFmtId="14" fontId="12" fillId="5" borderId="9" xfId="0" applyNumberFormat="1" applyFont="1" applyFill="1" applyBorder="1"/>
    <xf numFmtId="14" fontId="13" fillId="7" borderId="10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9" fontId="0" fillId="4" borderId="0" xfId="1" applyFont="1" applyFill="1"/>
    <xf numFmtId="0" fontId="0" fillId="0" borderId="0" xfId="0" applyAlignment="1">
      <alignment horizontal="left"/>
    </xf>
    <xf numFmtId="0" fontId="14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border outline="0">
        <top style="thin">
          <color rgb="FFCCCCCC"/>
        </top>
      </border>
    </dxf>
    <dxf>
      <border outline="0"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/>
      </border>
    </dxf>
  </dxfs>
  <tableStyles count="0" defaultTableStyle="TableStyleMedium9" defaultPivotStyle="PivotStyleLight16"/>
  <colors>
    <mruColors>
      <color rgb="FF1282A2"/>
      <color rgb="FF0A1128"/>
      <color rgb="FF001F54"/>
      <color rgb="FF034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theme" Target="theme/theme1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pivotCacheDefinition" Target="pivotCache/pivotCacheDefinition1.xml" /><Relationship Id="rId11" Type="http://schemas.openxmlformats.org/officeDocument/2006/relationships/calcChain" Target="calcChain.xml" /><Relationship Id="rId5" Type="http://schemas.openxmlformats.org/officeDocument/2006/relationships/worksheet" Target="worksheets/sheet5.xml" /><Relationship Id="rId10" Type="http://schemas.openxmlformats.org/officeDocument/2006/relationships/sheetMetadata" Target="metadata.xml" /><Relationship Id="rId4" Type="http://schemas.openxmlformats.org/officeDocument/2006/relationships/worksheet" Target="worksheets/sheet4.xml" /><Relationship Id="rId9" Type="http://schemas.openxmlformats.org/officeDocument/2006/relationships/sharedStrings" Target="sharedStrings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Tareas ADSO.xlsm]Lista Desplegable!PivotTable1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'Lista Desplegable'!$B$6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B8-4BA9-9011-18811EDCC3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B8-4BA9-9011-18811EDCC3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B8-4BA9-9011-18811EDCC330}"/>
              </c:ext>
            </c:extLst>
          </c:dPt>
          <c:cat>
            <c:strRef>
              <c:f>'Lista Desplegable'!$A$7:$A$10</c:f>
              <c:strCache>
                <c:ptCount val="3"/>
                <c:pt idx="0">
                  <c:v>Completada</c:v>
                </c:pt>
                <c:pt idx="1">
                  <c:v>Pendiente</c:v>
                </c:pt>
                <c:pt idx="2">
                  <c:v>Proxima</c:v>
                </c:pt>
              </c:strCache>
            </c:strRef>
          </c:cat>
          <c:val>
            <c:numRef>
              <c:f>'Lista Desplegable'!$B$7:$B$10</c:f>
              <c:numCache>
                <c:formatCode>General</c:formatCode>
                <c:ptCount val="3"/>
                <c:pt idx="0">
                  <c:v>30</c:v>
                </c:pt>
                <c:pt idx="1">
                  <c:v>28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8-42E4-85B6-E03F7E13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Tareas ADSO.xlsm]Lista Desplegable!PivotTable1</c:name>
    <c:fmtId val="1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1F5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rgbClr val="1282A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rgbClr val="0A1128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5972222222222224"/>
          <c:y val="0.14583333333333334"/>
          <c:w val="0.46388888888888891"/>
          <c:h val="0.77314814814814814"/>
        </c:manualLayout>
      </c:layout>
      <c:doughnutChart>
        <c:varyColors val="1"/>
        <c:ser>
          <c:idx val="0"/>
          <c:order val="0"/>
          <c:tx>
            <c:strRef>
              <c:f>'Lista Desplegable'!$B$6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1F5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90-4BB8-B5F0-478271ADD36C}"/>
              </c:ext>
            </c:extLst>
          </c:dPt>
          <c:dPt>
            <c:idx val="1"/>
            <c:bubble3D val="0"/>
            <c:spPr>
              <a:solidFill>
                <a:srgbClr val="1282A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90-4BB8-B5F0-478271ADD36C}"/>
              </c:ext>
            </c:extLst>
          </c:dPt>
          <c:dPt>
            <c:idx val="2"/>
            <c:bubble3D val="0"/>
            <c:spPr>
              <a:solidFill>
                <a:srgbClr val="0A1128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D90-4BB8-B5F0-478271ADD36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'Lista Desplegable'!$A$7:$A$10</c:f>
              <c:strCache>
                <c:ptCount val="3"/>
                <c:pt idx="0">
                  <c:v>Completada</c:v>
                </c:pt>
                <c:pt idx="1">
                  <c:v>Pendiente</c:v>
                </c:pt>
                <c:pt idx="2">
                  <c:v>Proxima</c:v>
                </c:pt>
              </c:strCache>
            </c:strRef>
          </c:cat>
          <c:val>
            <c:numRef>
              <c:f>'Lista Desplegable'!$B$7:$B$10</c:f>
              <c:numCache>
                <c:formatCode>General</c:formatCode>
                <c:ptCount val="3"/>
                <c:pt idx="0">
                  <c:v>30</c:v>
                </c:pt>
                <c:pt idx="1">
                  <c:v>28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90-4BB8-B5F0-478271ADD3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3</xdr:row>
      <xdr:rowOff>147637</xdr:rowOff>
    </xdr:from>
    <xdr:to>
      <xdr:col>10</xdr:col>
      <xdr:colOff>4762</xdr:colOff>
      <xdr:row>18</xdr:row>
      <xdr:rowOff>33337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D0149C9-4E05-8574-FECA-04F52FB05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5</xdr:row>
      <xdr:rowOff>114299</xdr:rowOff>
    </xdr:from>
    <xdr:to>
      <xdr:col>3</xdr:col>
      <xdr:colOff>257175</xdr:colOff>
      <xdr:row>11</xdr:row>
      <xdr:rowOff>123824</xdr:rowOff>
    </xdr:to>
    <xdr:sp macro="" textlink="$B$14">
      <xdr:nvSpPr>
        <xdr:cNvPr id="5" name="Rectangle: Rounded Corners 4">
          <a:extLst>
            <a:ext uri="{FF2B5EF4-FFF2-40B4-BE49-F238E27FC236}">
              <a16:creationId xmlns:a16="http://schemas.microsoft.com/office/drawing/2014/main" id="{820C1F5B-D210-39C1-6828-58ECC06C640E}"/>
            </a:ext>
          </a:extLst>
        </xdr:cNvPr>
        <xdr:cNvSpPr/>
      </xdr:nvSpPr>
      <xdr:spPr>
        <a:xfrm>
          <a:off x="628650" y="1314449"/>
          <a:ext cx="1466850" cy="11525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26664F0-4839-4A21-9559-04541FBB7FFD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65</a:t>
          </a:fld>
          <a:endParaRPr lang="es-CO" sz="1100" baseline="0"/>
        </a:p>
      </xdr:txBody>
    </xdr:sp>
    <xdr:clientData/>
  </xdr:twoCellAnchor>
  <xdr:twoCellAnchor>
    <xdr:from>
      <xdr:col>3</xdr:col>
      <xdr:colOff>542926</xdr:colOff>
      <xdr:row>5</xdr:row>
      <xdr:rowOff>152400</xdr:rowOff>
    </xdr:from>
    <xdr:to>
      <xdr:col>6</xdr:col>
      <xdr:colOff>95250</xdr:colOff>
      <xdr:row>11</xdr:row>
      <xdr:rowOff>161925</xdr:rowOff>
    </xdr:to>
    <xdr:sp macro="" textlink="$E$14">
      <xdr:nvSpPr>
        <xdr:cNvPr id="6" name="Rectangle: Rounded Corners 5">
          <a:extLst>
            <a:ext uri="{FF2B5EF4-FFF2-40B4-BE49-F238E27FC236}">
              <a16:creationId xmlns:a16="http://schemas.microsoft.com/office/drawing/2014/main" id="{8574455F-9252-4F5B-9262-D885888A46B4}"/>
            </a:ext>
          </a:extLst>
        </xdr:cNvPr>
        <xdr:cNvSpPr/>
      </xdr:nvSpPr>
      <xdr:spPr>
        <a:xfrm>
          <a:off x="2381251" y="1352550"/>
          <a:ext cx="1457324" cy="11525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C441BD-0874-4413-8666-353C1C004015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30</a:t>
          </a:fld>
          <a:endParaRPr lang="es-CO" sz="1100" baseline="0"/>
        </a:p>
      </xdr:txBody>
    </xdr:sp>
    <xdr:clientData/>
  </xdr:twoCellAnchor>
  <xdr:twoCellAnchor>
    <xdr:from>
      <xdr:col>6</xdr:col>
      <xdr:colOff>542925</xdr:colOff>
      <xdr:row>6</xdr:row>
      <xdr:rowOff>0</xdr:rowOff>
    </xdr:from>
    <xdr:to>
      <xdr:col>9</xdr:col>
      <xdr:colOff>85725</xdr:colOff>
      <xdr:row>11</xdr:row>
      <xdr:rowOff>161925</xdr:rowOff>
    </xdr:to>
    <xdr:sp macro="" textlink="$H$14">
      <xdr:nvSpPr>
        <xdr:cNvPr id="7" name="Rectangle: Rounded Corners 6">
          <a:extLst>
            <a:ext uri="{FF2B5EF4-FFF2-40B4-BE49-F238E27FC236}">
              <a16:creationId xmlns:a16="http://schemas.microsoft.com/office/drawing/2014/main" id="{41B66AD2-AD54-405E-B20A-5954B01E3E8A}"/>
            </a:ext>
          </a:extLst>
        </xdr:cNvPr>
        <xdr:cNvSpPr/>
      </xdr:nvSpPr>
      <xdr:spPr>
        <a:xfrm>
          <a:off x="4267200" y="1390650"/>
          <a:ext cx="1504950" cy="11144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51A264-E69B-4EAC-ACB5-C3B984889476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0</a:t>
          </a:fld>
          <a:endParaRPr lang="es-CO" sz="1100" baseline="0"/>
        </a:p>
      </xdr:txBody>
    </xdr:sp>
    <xdr:clientData/>
  </xdr:twoCellAnchor>
  <xdr:twoCellAnchor>
    <xdr:from>
      <xdr:col>9</xdr:col>
      <xdr:colOff>552450</xdr:colOff>
      <xdr:row>5</xdr:row>
      <xdr:rowOff>180975</xdr:rowOff>
    </xdr:from>
    <xdr:to>
      <xdr:col>11</xdr:col>
      <xdr:colOff>790575</xdr:colOff>
      <xdr:row>12</xdr:row>
      <xdr:rowOff>0</xdr:rowOff>
    </xdr:to>
    <xdr:sp macro="" textlink="$K$14">
      <xdr:nvSpPr>
        <xdr:cNvPr id="8" name="Rectangle: Rounded Corners 7">
          <a:extLst>
            <a:ext uri="{FF2B5EF4-FFF2-40B4-BE49-F238E27FC236}">
              <a16:creationId xmlns:a16="http://schemas.microsoft.com/office/drawing/2014/main" id="{A3E68890-EC31-46A3-A2E9-0F8DB32E3EC3}"/>
            </a:ext>
          </a:extLst>
        </xdr:cNvPr>
        <xdr:cNvSpPr/>
      </xdr:nvSpPr>
      <xdr:spPr>
        <a:xfrm>
          <a:off x="6238875" y="1381125"/>
          <a:ext cx="1457325" cy="11525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C4D4D7F-1261-4AEA-8F92-B7ACC3A3BACC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30</a:t>
          </a:fld>
          <a:endParaRPr lang="es-CO" sz="1100" baseline="0"/>
        </a:p>
      </xdr:txBody>
    </xdr:sp>
    <xdr:clientData/>
  </xdr:twoCellAnchor>
  <xdr:twoCellAnchor>
    <xdr:from>
      <xdr:col>12</xdr:col>
      <xdr:colOff>371475</xdr:colOff>
      <xdr:row>5</xdr:row>
      <xdr:rowOff>142875</xdr:rowOff>
    </xdr:from>
    <xdr:to>
      <xdr:col>15</xdr:col>
      <xdr:colOff>0</xdr:colOff>
      <xdr:row>11</xdr:row>
      <xdr:rowOff>152400</xdr:rowOff>
    </xdr:to>
    <xdr:sp macro="" textlink="$N$14">
      <xdr:nvSpPr>
        <xdr:cNvPr id="9" name="Rectangle: Rounded Corners 8">
          <a:extLst>
            <a:ext uri="{FF2B5EF4-FFF2-40B4-BE49-F238E27FC236}">
              <a16:creationId xmlns:a16="http://schemas.microsoft.com/office/drawing/2014/main" id="{99AC7AD1-D81B-402C-B203-F0DE79C4EC2F}"/>
            </a:ext>
          </a:extLst>
        </xdr:cNvPr>
        <xdr:cNvSpPr/>
      </xdr:nvSpPr>
      <xdr:spPr>
        <a:xfrm>
          <a:off x="8201025" y="1343025"/>
          <a:ext cx="1457325" cy="11525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352DE4-DDE8-424C-A2DC-49484525954F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5</a:t>
          </a:fld>
          <a:endParaRPr lang="es-CO" sz="1100" baseline="0"/>
        </a:p>
      </xdr:txBody>
    </xdr:sp>
    <xdr:clientData/>
  </xdr:twoCellAnchor>
  <xdr:twoCellAnchor>
    <xdr:from>
      <xdr:col>15</xdr:col>
      <xdr:colOff>371475</xdr:colOff>
      <xdr:row>5</xdr:row>
      <xdr:rowOff>104775</xdr:rowOff>
    </xdr:from>
    <xdr:to>
      <xdr:col>17</xdr:col>
      <xdr:colOff>714375</xdr:colOff>
      <xdr:row>11</xdr:row>
      <xdr:rowOff>114300</xdr:rowOff>
    </xdr:to>
    <xdr:sp macro="" textlink="$Q$14">
      <xdr:nvSpPr>
        <xdr:cNvPr id="10" name="Rectangle: Rounded Corners 9">
          <a:extLst>
            <a:ext uri="{FF2B5EF4-FFF2-40B4-BE49-F238E27FC236}">
              <a16:creationId xmlns:a16="http://schemas.microsoft.com/office/drawing/2014/main" id="{C2DF1BBD-ABF5-4952-944E-38B4BDC16211}"/>
            </a:ext>
          </a:extLst>
        </xdr:cNvPr>
        <xdr:cNvSpPr/>
      </xdr:nvSpPr>
      <xdr:spPr>
        <a:xfrm>
          <a:off x="9744075" y="1304925"/>
          <a:ext cx="1628775" cy="1152525"/>
        </a:xfrm>
        <a:prstGeom prst="roundRect">
          <a:avLst/>
        </a:prstGeom>
        <a:solidFill>
          <a:srgbClr val="001F5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42A569-CD13-40D7-85F2-DC5954FDB74D}" type="TxLink">
            <a:rPr lang="en-US" sz="1000" b="1" i="0" u="none" strike="noStrike">
              <a:solidFill>
                <a:srgbClr val="FFFFFF"/>
              </a:solidFill>
              <a:latin typeface="Montserrat"/>
            </a:rPr>
            <a:pPr algn="ctr"/>
            <a:t>46%</a:t>
          </a:fld>
          <a:endParaRPr lang="es-CO" sz="1100" baseline="0"/>
        </a:p>
      </xdr:txBody>
    </xdr:sp>
    <xdr:clientData/>
  </xdr:twoCellAnchor>
  <xdr:oneCellAnchor>
    <xdr:from>
      <xdr:col>1</xdr:col>
      <xdr:colOff>137101</xdr:colOff>
      <xdr:row>6</xdr:row>
      <xdr:rowOff>123590</xdr:rowOff>
    </xdr:from>
    <xdr:ext cx="1320223" cy="26430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0D00519-A011-966E-E224-85AF0B9672AD}"/>
            </a:ext>
          </a:extLst>
        </xdr:cNvPr>
        <xdr:cNvSpPr txBox="1"/>
      </xdr:nvSpPr>
      <xdr:spPr>
        <a:xfrm flipH="1">
          <a:off x="699076" y="1514240"/>
          <a:ext cx="1320223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Total de tareas</a:t>
          </a:r>
        </a:p>
      </xdr:txBody>
    </xdr:sp>
    <xdr:clientData/>
  </xdr:oneCellAnchor>
  <xdr:oneCellAnchor>
    <xdr:from>
      <xdr:col>3</xdr:col>
      <xdr:colOff>523873</xdr:colOff>
      <xdr:row>6</xdr:row>
      <xdr:rowOff>123825</xdr:rowOff>
    </xdr:from>
    <xdr:ext cx="1600201" cy="264303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E58DE5B-4F47-4490-88D0-8036E9A6D98E}"/>
            </a:ext>
          </a:extLst>
        </xdr:cNvPr>
        <xdr:cNvSpPr txBox="1"/>
      </xdr:nvSpPr>
      <xdr:spPr>
        <a:xfrm flipH="1">
          <a:off x="2362198" y="1514475"/>
          <a:ext cx="1600201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Tareas</a:t>
          </a:r>
          <a:r>
            <a:rPr lang="es-CO" sz="1100" b="1" baseline="0">
              <a:solidFill>
                <a:schemeClr val="bg1"/>
              </a:solidFill>
              <a:latin typeface="Montserrat Black" pitchFamily="2" charset="0"/>
            </a:rPr>
            <a:t> </a:t>
          </a:r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entregadas</a:t>
          </a:r>
        </a:p>
      </xdr:txBody>
    </xdr:sp>
    <xdr:clientData/>
  </xdr:oneCellAnchor>
  <xdr:oneCellAnchor>
    <xdr:from>
      <xdr:col>6</xdr:col>
      <xdr:colOff>514347</xdr:colOff>
      <xdr:row>6</xdr:row>
      <xdr:rowOff>123825</xdr:rowOff>
    </xdr:from>
    <xdr:ext cx="1571627" cy="264303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74A7E03-EDF1-42B7-BCBA-3932713943CB}"/>
            </a:ext>
          </a:extLst>
        </xdr:cNvPr>
        <xdr:cNvSpPr txBox="1"/>
      </xdr:nvSpPr>
      <xdr:spPr>
        <a:xfrm flipH="1">
          <a:off x="4238622" y="1514475"/>
          <a:ext cx="1571627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Tareas</a:t>
          </a:r>
          <a:r>
            <a:rPr lang="es-CO" sz="1100" b="1" baseline="0">
              <a:solidFill>
                <a:schemeClr val="bg1"/>
              </a:solidFill>
              <a:latin typeface="Montserrat Black" pitchFamily="2" charset="0"/>
            </a:rPr>
            <a:t> e</a:t>
          </a:r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n revisión</a:t>
          </a:r>
        </a:p>
      </xdr:txBody>
    </xdr:sp>
    <xdr:clientData/>
  </xdr:oneCellAnchor>
  <xdr:oneCellAnchor>
    <xdr:from>
      <xdr:col>10</xdr:col>
      <xdr:colOff>66675</xdr:colOff>
      <xdr:row>6</xdr:row>
      <xdr:rowOff>161925</xdr:rowOff>
    </xdr:from>
    <xdr:ext cx="1219200" cy="264303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51BE21A0-D28B-450E-89D2-4FE924004AE0}"/>
            </a:ext>
          </a:extLst>
        </xdr:cNvPr>
        <xdr:cNvSpPr txBox="1"/>
      </xdr:nvSpPr>
      <xdr:spPr>
        <a:xfrm flipH="1">
          <a:off x="6505575" y="1552575"/>
          <a:ext cx="1219200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Incompletas</a:t>
          </a:r>
        </a:p>
      </xdr:txBody>
    </xdr:sp>
    <xdr:clientData/>
  </xdr:oneCellAnchor>
  <xdr:oneCellAnchor>
    <xdr:from>
      <xdr:col>13</xdr:col>
      <xdr:colOff>9525</xdr:colOff>
      <xdr:row>6</xdr:row>
      <xdr:rowOff>133350</xdr:rowOff>
    </xdr:from>
    <xdr:ext cx="904875" cy="264303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99C572C-D207-497B-8DB8-21FBE42D56C1}"/>
            </a:ext>
          </a:extLst>
        </xdr:cNvPr>
        <xdr:cNvSpPr txBox="1"/>
      </xdr:nvSpPr>
      <xdr:spPr>
        <a:xfrm flipH="1">
          <a:off x="8448675" y="1524000"/>
          <a:ext cx="904875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Próximas</a:t>
          </a:r>
        </a:p>
      </xdr:txBody>
    </xdr:sp>
    <xdr:clientData/>
  </xdr:oneCellAnchor>
  <xdr:oneCellAnchor>
    <xdr:from>
      <xdr:col>15</xdr:col>
      <xdr:colOff>514350</xdr:colOff>
      <xdr:row>6</xdr:row>
      <xdr:rowOff>142875</xdr:rowOff>
    </xdr:from>
    <xdr:ext cx="1400174" cy="264303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6DF8F47-1AA7-4D93-8E46-E473E7091A14}"/>
            </a:ext>
          </a:extLst>
        </xdr:cNvPr>
        <xdr:cNvSpPr txBox="1"/>
      </xdr:nvSpPr>
      <xdr:spPr>
        <a:xfrm flipH="1">
          <a:off x="9886950" y="1533525"/>
          <a:ext cx="1400174" cy="2643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%</a:t>
          </a:r>
          <a:r>
            <a:rPr lang="es-CO" sz="1100" b="1" baseline="0">
              <a:solidFill>
                <a:schemeClr val="bg1"/>
              </a:solidFill>
              <a:latin typeface="Montserrat Black" pitchFamily="2" charset="0"/>
            </a:rPr>
            <a:t> </a:t>
          </a:r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Completado</a:t>
          </a:r>
        </a:p>
      </xdr:txBody>
    </xdr:sp>
    <xdr:clientData/>
  </xdr:oneCellAnchor>
  <xdr:oneCellAnchor>
    <xdr:from>
      <xdr:col>1</xdr:col>
      <xdr:colOff>619124</xdr:colOff>
      <xdr:row>9</xdr:row>
      <xdr:rowOff>9524</xdr:rowOff>
    </xdr:from>
    <xdr:ext cx="352425" cy="28245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D6467AF-99B0-452B-92B7-88EEE0AFFBEC}"/>
            </a:ext>
          </a:extLst>
        </xdr:cNvPr>
        <xdr:cNvSpPr txBox="1"/>
      </xdr:nvSpPr>
      <xdr:spPr>
        <a:xfrm flipH="1">
          <a:off x="1181099" y="1971674"/>
          <a:ext cx="35242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📋</a:t>
          </a:r>
          <a:r>
            <a:rPr lang="es-CO"/>
            <a:t> </a:t>
          </a:r>
          <a:endParaRPr lang="es-CO" sz="1100" b="1">
            <a:solidFill>
              <a:schemeClr val="bg1"/>
            </a:solidFill>
            <a:latin typeface="Montserrat Black" pitchFamily="2" charset="0"/>
          </a:endParaRPr>
        </a:p>
      </xdr:txBody>
    </xdr:sp>
    <xdr:clientData/>
  </xdr:oneCellAnchor>
  <xdr:oneCellAnchor>
    <xdr:from>
      <xdr:col>4</xdr:col>
      <xdr:colOff>457199</xdr:colOff>
      <xdr:row>9</xdr:row>
      <xdr:rowOff>28575</xdr:rowOff>
    </xdr:from>
    <xdr:ext cx="342901" cy="28245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A279596-DE3D-48BD-812A-F867175A018D}"/>
            </a:ext>
          </a:extLst>
        </xdr:cNvPr>
        <xdr:cNvSpPr txBox="1"/>
      </xdr:nvSpPr>
      <xdr:spPr>
        <a:xfrm flipH="1">
          <a:off x="2971799" y="1990725"/>
          <a:ext cx="342901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✅</a:t>
          </a:r>
          <a:r>
            <a:rPr lang="es-CO"/>
            <a:t> </a:t>
          </a:r>
          <a:endParaRPr lang="es-CO" sz="1100" b="1">
            <a:solidFill>
              <a:schemeClr val="bg1"/>
            </a:solidFill>
            <a:latin typeface="Montserrat Black" pitchFamily="2" charset="0"/>
          </a:endParaRPr>
        </a:p>
      </xdr:txBody>
    </xdr:sp>
    <xdr:clientData/>
  </xdr:oneCellAnchor>
  <xdr:oneCellAnchor>
    <xdr:from>
      <xdr:col>7</xdr:col>
      <xdr:colOff>523875</xdr:colOff>
      <xdr:row>9</xdr:row>
      <xdr:rowOff>47625</xdr:rowOff>
    </xdr:from>
    <xdr:ext cx="276225" cy="28245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FC02CC61-1227-4ED4-B6C7-78453C419A32}"/>
            </a:ext>
          </a:extLst>
        </xdr:cNvPr>
        <xdr:cNvSpPr txBox="1"/>
      </xdr:nvSpPr>
      <xdr:spPr>
        <a:xfrm flipH="1">
          <a:off x="5000625" y="2009775"/>
          <a:ext cx="27622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⏳</a:t>
          </a:r>
          <a:endParaRPr lang="es-CO" sz="1100" b="1">
            <a:solidFill>
              <a:schemeClr val="bg1"/>
            </a:solidFill>
            <a:latin typeface="Montserrat Black" pitchFamily="2" charset="0"/>
          </a:endParaRPr>
        </a:p>
      </xdr:txBody>
    </xdr:sp>
    <xdr:clientData/>
  </xdr:oneCellAnchor>
  <xdr:oneCellAnchor>
    <xdr:from>
      <xdr:col>10</xdr:col>
      <xdr:colOff>438150</xdr:colOff>
      <xdr:row>9</xdr:row>
      <xdr:rowOff>28575</xdr:rowOff>
    </xdr:from>
    <xdr:ext cx="295275" cy="28245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1AD49AB-6BFE-4B4A-B857-54D654E8A5B1}"/>
            </a:ext>
          </a:extLst>
        </xdr:cNvPr>
        <xdr:cNvSpPr txBox="1"/>
      </xdr:nvSpPr>
      <xdr:spPr>
        <a:xfrm flipH="1">
          <a:off x="6877050" y="1990725"/>
          <a:ext cx="295275" cy="28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endParaRPr lang="es-CO" sz="1100" b="1">
            <a:solidFill>
              <a:schemeClr val="bg1"/>
            </a:solidFill>
            <a:latin typeface="Montserrat Black" pitchFamily="2" charset="0"/>
          </a:endParaRPr>
        </a:p>
      </xdr:txBody>
    </xdr:sp>
    <xdr:clientData/>
  </xdr:oneCellAnchor>
  <xdr:oneCellAnchor>
    <xdr:from>
      <xdr:col>13</xdr:col>
      <xdr:colOff>257175</xdr:colOff>
      <xdr:row>9</xdr:row>
      <xdr:rowOff>57150</xdr:rowOff>
    </xdr:from>
    <xdr:ext cx="390525" cy="279948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3270C382-6416-414A-A011-E5EE012802BC}"/>
            </a:ext>
          </a:extLst>
        </xdr:cNvPr>
        <xdr:cNvSpPr txBox="1"/>
      </xdr:nvSpPr>
      <xdr:spPr>
        <a:xfrm flipH="1">
          <a:off x="8610600" y="2019300"/>
          <a:ext cx="390525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🕐</a:t>
          </a:r>
        </a:p>
      </xdr:txBody>
    </xdr:sp>
    <xdr:clientData/>
  </xdr:oneCellAnchor>
  <xdr:oneCellAnchor>
    <xdr:from>
      <xdr:col>16</xdr:col>
      <xdr:colOff>381000</xdr:colOff>
      <xdr:row>9</xdr:row>
      <xdr:rowOff>9525</xdr:rowOff>
    </xdr:from>
    <xdr:ext cx="390525" cy="279948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E72C2EA8-EA0F-40F3-BC60-24B798505F5C}"/>
            </a:ext>
          </a:extLst>
        </xdr:cNvPr>
        <xdr:cNvSpPr txBox="1"/>
      </xdr:nvSpPr>
      <xdr:spPr>
        <a:xfrm flipH="1">
          <a:off x="10487025" y="1971675"/>
          <a:ext cx="390525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O" sz="1100" b="1">
              <a:solidFill>
                <a:schemeClr val="bg1"/>
              </a:solidFill>
              <a:latin typeface="Montserrat Black" pitchFamily="2" charset="0"/>
            </a:rPr>
            <a:t>📈</a:t>
          </a:r>
        </a:p>
      </xdr:txBody>
    </xdr:sp>
    <xdr:clientData/>
  </xdr:oneCellAnchor>
  <xdr:twoCellAnchor>
    <xdr:from>
      <xdr:col>5</xdr:col>
      <xdr:colOff>600075</xdr:colOff>
      <xdr:row>11</xdr:row>
      <xdr:rowOff>42862</xdr:rowOff>
    </xdr:from>
    <xdr:to>
      <xdr:col>13</xdr:col>
      <xdr:colOff>9525</xdr:colOff>
      <xdr:row>25</xdr:row>
      <xdr:rowOff>176212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6794323C-7C47-4804-5D10-737F40083D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s Andrade" refreshedDate="46074.994357407406" createdVersion="8" refreshedVersion="8" minRefreshableVersion="3" recordCount="65" xr:uid="{8FE50A92-F890-47FC-A8AF-7F6CB721E2F3}">
  <cacheSource type="worksheet">
    <worksheetSource name="Tareas"/>
  </cacheSource>
  <cacheFields count="8">
    <cacheField name="Tarea" numFmtId="0">
      <sharedItems/>
    </cacheField>
    <cacheField name="Código" numFmtId="0">
      <sharedItems/>
    </cacheField>
    <cacheField name="Fecha de Apertura" numFmtId="14">
      <sharedItems containsSemiMixedTypes="0" containsNonDate="0" containsDate="1" containsString="0" minDate="2025-04-14T00:00:00" maxDate="2026-02-24T00:00:00"/>
    </cacheField>
    <cacheField name="Fecha Límite" numFmtId="14">
      <sharedItems containsSemiMixedTypes="0" containsNonDate="0" containsDate="1" containsString="0" minDate="2025-04-21T00:00:00" maxDate="2026-03-03T00:00:00"/>
    </cacheField>
    <cacheField name="¿Vencida?" numFmtId="0">
      <sharedItems/>
    </cacheField>
    <cacheField name="¿Entregada?" numFmtId="0">
      <sharedItems/>
    </cacheField>
    <cacheField name="Calificación" numFmtId="0">
      <sharedItems/>
    </cacheField>
    <cacheField name="Estado" numFmtId="0">
      <sharedItems count="3">
        <s v="Completada"/>
        <s v="Pendiente"/>
        <s v="Proxim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s v="Infografía sobre la teoría general de sistemas"/>
    <s v="GA1-220501092-AA1-EV01"/>
    <d v="2025-04-14T00:00:00"/>
    <d v="2025-04-21T00:00:00"/>
    <s v="Vencida"/>
    <s v="Si"/>
    <s v="A"/>
    <x v="0"/>
  </r>
  <r>
    <s v="Mapa de procesos del software a construir"/>
    <s v="GA1-220501092-AA1-EV03"/>
    <d v="2025-04-14T00:00:00"/>
    <d v="2025-04-21T00:00:00"/>
    <s v="Vencida"/>
    <s v="Si"/>
    <s v="A"/>
    <x v="0"/>
  </r>
  <r>
    <s v="Mapa conceptual - Software y servicios de internet"/>
    <s v="GA1-220501046-AA1-EV01"/>
    <d v="2025-04-22T00:00:00"/>
    <d v="2025-04-28T00:00:00"/>
    <s v="Vencida"/>
    <s v="Si"/>
    <s v="A"/>
    <x v="0"/>
  </r>
  <r>
    <s v="Taller herramientas de ofimática"/>
    <s v="GA1-220501046-AA2-EV01"/>
    <d v="2025-04-22T00:00:00"/>
    <d v="2025-04-28T00:00:00"/>
    <s v="Vencida"/>
    <s v="Si"/>
    <s v="A"/>
    <x v="0"/>
  </r>
  <r>
    <s v="Mapa mental sobre ingeniería de requisitos"/>
    <s v="GA1-220501092-AA2-EV01"/>
    <d v="2025-04-29T00:00:00"/>
    <d v="2025-05-05T00:00:00"/>
    <s v="Vencida"/>
    <s v="Si"/>
    <s v="A"/>
    <x v="0"/>
  </r>
  <r>
    <s v="Diseño del instrumento de recolección de información"/>
    <s v="GA1-220501092-AA3-EV01"/>
    <d v="2025-04-29T00:00:00"/>
    <d v="2025-05-05T00:00:00"/>
    <s v="Vencida"/>
    <s v="Si"/>
    <s v="A"/>
    <x v="0"/>
  </r>
  <r>
    <s v="Video presentación (Inglés)"/>
    <s v="GA1-240202501-AA1-EV02"/>
    <d v="2025-05-06T00:00:00"/>
    <d v="2025-05-12T00:00:00"/>
    <s v="Vencida"/>
    <s v="Si"/>
    <s v="A"/>
    <x v="0"/>
  </r>
  <r>
    <s v="Cuestionario (Inglés GA1)"/>
    <s v="GA1-240202501-AA1-EV01"/>
    <d v="2025-05-06T00:00:00"/>
    <d v="2026-03-02T00:00:00"/>
    <s v="Pendiente"/>
    <s v="Si"/>
    <s v="A"/>
    <x v="0"/>
  </r>
  <r>
    <s v="Cuestionario procedimientos aritméticos"/>
    <s v="GA2-240201528-AA1-EV01"/>
    <d v="2025-05-13T00:00:00"/>
    <d v="2026-03-02T00:00:00"/>
    <s v="Pendiente"/>
    <s v="Si"/>
    <s v="A"/>
    <x v="0"/>
  </r>
  <r>
    <s v="Planteamiento de ecuación"/>
    <s v="GA2-240201528-AA2-EV01"/>
    <d v="2025-05-13T00:00:00"/>
    <d v="2025-05-19T00:00:00"/>
    <s v="Vencida"/>
    <s v="Si"/>
    <s v="A"/>
    <x v="0"/>
  </r>
  <r>
    <s v="Formulación del proyecto de software"/>
    <s v="GA1-220501092-AA3-EV02"/>
    <d v="2025-05-20T00:00:00"/>
    <d v="2025-05-26T00:00:00"/>
    <s v="Vencida"/>
    <s v="Si"/>
    <s v="A"/>
    <x v="0"/>
  </r>
  <r>
    <s v="Informe mejora de productos con TIC"/>
    <s v="GA1-220501046-AA3-EV01"/>
    <d v="2025-05-27T00:00:00"/>
    <d v="2025-06-02T00:00:00"/>
    <s v="Vencida"/>
    <s v="Si"/>
    <s v="A"/>
    <x v="0"/>
  </r>
  <r>
    <s v="Especificación de los requerimientos funcionales y no funcionales"/>
    <s v="GA1-220501092-AA4-EV01"/>
    <d v="2025-06-03T00:00:00"/>
    <d v="2025-06-09T00:00:00"/>
    <s v="Vencida"/>
    <s v="Si"/>
    <s v="A"/>
    <x v="0"/>
  </r>
  <r>
    <s v="Taller especificaciones funcionales y metodología"/>
    <s v="GA1-220501092-AA5-EV01"/>
    <d v="2025-06-03T00:00:00"/>
    <d v="2025-06-09T00:00:00"/>
    <s v="Vencida"/>
    <s v="Si"/>
    <s v="A"/>
    <x v="0"/>
  </r>
  <r>
    <s v="Folleto (Inglés)"/>
    <s v="GA1-240202501-AA1-EV03"/>
    <d v="2025-06-10T00:00:00"/>
    <d v="2025-06-16T00:00:00"/>
    <s v="Vencida"/>
    <s v="Si"/>
    <s v="A"/>
    <x v="0"/>
  </r>
  <r>
    <s v="Diagramas UML con Star UML"/>
    <s v="GA2-220501093-AA1-EV01"/>
    <d v="2025-06-17T00:00:00"/>
    <d v="2025-06-23T00:00:00"/>
    <s v="Vencida"/>
    <s v="Si"/>
    <s v="A"/>
    <x v="0"/>
  </r>
  <r>
    <s v="Cuestionario (Inglés GA2-AA1)"/>
    <s v="GA2-240202501-AA1-EV01"/>
    <d v="2025-06-24T00:00:00"/>
    <d v="2026-03-02T00:00:00"/>
    <s v="Pendiente"/>
    <s v="Si"/>
    <s v="A"/>
    <x v="0"/>
  </r>
  <r>
    <s v="Video entrevista virtual (Inglés)"/>
    <s v="GA2-240202501-AA1-EV02"/>
    <d v="2025-06-24T00:00:00"/>
    <d v="2025-06-30T00:00:00"/>
    <s v="Vencida"/>
    <s v="No"/>
    <s v="-"/>
    <x v="1"/>
  </r>
  <r>
    <s v="Diagramas modelo de dominio del proyecto"/>
    <s v="GA2-220501093-AA2-EV01"/>
    <d v="2025-07-01T00:00:00"/>
    <d v="2025-07-07T00:00:00"/>
    <s v="Vencida"/>
    <s v="Si"/>
    <s v="A"/>
    <x v="0"/>
  </r>
  <r>
    <s v="Fichas técnicas hardware/software y presupuestos"/>
    <s v="GA2-220501094-AA1-EV02"/>
    <d v="2025-07-01T00:00:00"/>
    <d v="2025-07-07T00:00:00"/>
    <s v="Vencida"/>
    <s v="Si"/>
    <s v="A"/>
    <x v="0"/>
  </r>
  <r>
    <s v="Crónica (Inglés)"/>
    <s v="GA2-240202501-AA1-EV03"/>
    <d v="2025-07-08T00:00:00"/>
    <d v="2025-07-14T00:00:00"/>
    <s v="Vencida"/>
    <s v="Si"/>
    <s v="A"/>
    <x v="0"/>
  </r>
  <r>
    <s v="Cuestionario (Inglés GA2-AA2)"/>
    <s v="GA2-240202501-AA2-EV01"/>
    <d v="2025-07-08T00:00:00"/>
    <d v="2026-03-02T00:00:00"/>
    <s v="Pendiente"/>
    <s v="Si"/>
    <s v="A"/>
    <x v="0"/>
  </r>
  <r>
    <s v="Ficha técnica, términos de referencia y lista de chequeo"/>
    <s v="GA2-220501094-AA2-EV01"/>
    <d v="2025-07-15T00:00:00"/>
    <d v="2025-07-21T00:00:00"/>
    <s v="Vencida"/>
    <s v="Si"/>
    <s v="A"/>
    <x v="0"/>
  </r>
  <r>
    <s v="Propuesta técnica y económica"/>
    <s v="GA2-220501094-AA4-EV02"/>
    <d v="2025-07-15T00:00:00"/>
    <d v="2025-07-21T00:00:00"/>
    <s v="Vencida"/>
    <s v="Si"/>
    <s v="A"/>
    <x v="0"/>
  </r>
  <r>
    <s v="Video sustentación (matemáticas)"/>
    <s v="GA2-240201528-AA3-EV01"/>
    <d v="2025-07-22T00:00:00"/>
    <d v="2025-07-28T00:00:00"/>
    <s v="Vencida"/>
    <s v="No"/>
    <s v="-"/>
    <x v="1"/>
  </r>
  <r>
    <s v="Algoritmo cálculo de áreas y volúmenes"/>
    <s v="GA2-240201528-AA4-EV01"/>
    <d v="2025-07-22T00:00:00"/>
    <d v="2025-07-28T00:00:00"/>
    <s v="Vencida"/>
    <s v="Si"/>
    <s v="A"/>
    <x v="0"/>
  </r>
  <r>
    <s v="Presentación (Inglés GA2-AA2)"/>
    <s v="GA2-240202501-AA2-EV02"/>
    <d v="2025-07-29T00:00:00"/>
    <d v="2025-08-04T00:00:00"/>
    <s v="Vencida"/>
    <s v="No"/>
    <s v="-"/>
    <x v="1"/>
  </r>
  <r>
    <s v="Documento escrito (Inglés GA2-AA2)"/>
    <s v="GA2-240202501-AA2-EV03"/>
    <d v="2025-07-29T00:00:00"/>
    <d v="2025-08-04T00:00:00"/>
    <s v="Vencida"/>
    <s v="Si"/>
    <s v="A"/>
    <x v="0"/>
  </r>
  <r>
    <s v="Bases conceptuales de lógica proposicional"/>
    <s v="GA3-220501093-AA1-EV01"/>
    <d v="2025-08-05T00:00:00"/>
    <d v="2025-08-11T00:00:00"/>
    <s v="Vencida"/>
    <s v="Si"/>
    <s v="A"/>
    <x v="0"/>
  </r>
  <r>
    <s v="Taller pseudocódigo y diagramas de flujo"/>
    <s v="GA3-220501093-AA1-EV02"/>
    <d v="2025-08-05T00:00:00"/>
    <d v="2025-08-11T00:00:00"/>
    <s v="Vencida"/>
    <s v="Si"/>
    <s v="A"/>
    <x v="0"/>
  </r>
  <r>
    <s v="Cuestionario (Ciencias GA3)"/>
    <s v="GA3-220201501-AA1-EV01"/>
    <d v="2025-08-12T00:00:00"/>
    <d v="2026-03-02T00:00:00"/>
    <s v="Pendiente"/>
    <s v="Si"/>
    <s v="A"/>
    <x v="0"/>
  </r>
  <r>
    <s v="Video expositivo experimento GA3-AA2"/>
    <s v="GA3-220201501-AA2-EV01"/>
    <d v="2025-08-12T00:00:00"/>
    <d v="2025-08-18T00:00:00"/>
    <s v="Vencida"/>
    <s v="No"/>
    <s v="-"/>
    <x v="1"/>
  </r>
  <r>
    <s v="Cuestionario (Inglés GA3-AA1)"/>
    <s v="GA3-240202501-AA1-EV01"/>
    <d v="2025-08-19T00:00:00"/>
    <d v="2026-03-02T00:00:00"/>
    <s v="Pendiente"/>
    <s v="No"/>
    <s v="-"/>
    <x v="2"/>
  </r>
  <r>
    <s v="Audio (Inglés GA3-AA1)"/>
    <s v="GA3-240202501-AA1-EV02"/>
    <d v="2025-08-19T00:00:00"/>
    <d v="2025-08-24T00:00:00"/>
    <s v="Vencida"/>
    <s v="No"/>
    <s v="-"/>
    <x v="1"/>
  </r>
  <r>
    <s v="Fundamentos programación estructurada y cíclica"/>
    <s v="GA3-220501093-AA2-EV01"/>
    <d v="2025-08-25T00:00:00"/>
    <d v="2025-08-31T00:00:00"/>
    <s v="Vencida"/>
    <s v="Si"/>
    <s v="A"/>
    <x v="0"/>
  </r>
  <r>
    <s v="Taller funciones y procedimientos en algoritmos"/>
    <s v="GA3-220501093-AA2-EV03"/>
    <d v="2025-08-25T00:00:00"/>
    <d v="2025-08-31T00:00:00"/>
    <s v="Vencida"/>
    <s v="Si"/>
    <s v="A"/>
    <x v="0"/>
  </r>
  <r>
    <s v="Informe de laboratorio"/>
    <s v="GA3-220201501-AA3-EV01"/>
    <d v="2025-09-01T00:00:00"/>
    <d v="2025-09-07T00:00:00"/>
    <s v="Vencida"/>
    <s v="No"/>
    <s v="-"/>
    <x v="1"/>
  </r>
  <r>
    <s v="Video expositivo experimento GA3-AA4"/>
    <s v="GA3-220201501-AA4-EV01"/>
    <d v="2025-09-01T00:00:00"/>
    <d v="2025-09-07T00:00:00"/>
    <s v="Vencida"/>
    <s v="No"/>
    <s v="-"/>
    <x v="1"/>
  </r>
  <r>
    <s v="Bitácora de procesos"/>
    <s v="GA3-220201501-AA4-EV02"/>
    <d v="2025-09-01T00:00:00"/>
    <d v="2025-09-07T00:00:00"/>
    <s v="Vencida"/>
    <s v="No"/>
    <s v="-"/>
    <x v="1"/>
  </r>
  <r>
    <s v="Cuestionario (Inglés GA3-AA2)"/>
    <s v="GA3-240202501-AA2-EV01"/>
    <d v="2025-09-08T00:00:00"/>
    <d v="2026-03-02T00:00:00"/>
    <s v="Pendiente"/>
    <s v="No"/>
    <s v="-"/>
    <x v="2"/>
  </r>
  <r>
    <s v="Audio (Inglés GA3-AA2)"/>
    <s v="GA3-240202501-AA2-EV02"/>
    <d v="2025-09-08T00:00:00"/>
    <d v="2025-09-14T00:00:00"/>
    <s v="Vencida"/>
    <s v="No"/>
    <s v="-"/>
    <x v="1"/>
  </r>
  <r>
    <s v="Bases teóricas estructuras de almacenamiento"/>
    <s v="GA3-220501093-AA3-EV01"/>
    <d v="2025-09-15T00:00:00"/>
    <d v="2025-09-21T00:00:00"/>
    <s v="Vencida"/>
    <s v="No"/>
    <s v="-"/>
    <x v="1"/>
  </r>
  <r>
    <s v="Resolución problemas con estructuras de almacenamiento"/>
    <s v="GA3-220501093-AA3-EV02"/>
    <d v="2025-09-15T00:00:00"/>
    <d v="2025-09-21T00:00:00"/>
    <s v="Vencida"/>
    <s v="No"/>
    <s v="-"/>
    <x v="1"/>
  </r>
  <r>
    <s v="Diseñar modelo conceptual y lógico (caso de estudio)"/>
    <s v="GA4-220501095-AA1-EV01"/>
    <d v="2025-09-22T00:00:00"/>
    <d v="2025-09-28T00:00:00"/>
    <s v="Vencida"/>
    <s v="No"/>
    <s v="-"/>
    <x v="1"/>
  </r>
  <r>
    <s v="Modelo conceptual y lógico del proyecto"/>
    <s v="GA4-220501095-AA1-EV02"/>
    <d v="2025-09-22T00:00:00"/>
    <d v="2025-09-28T00:00:00"/>
    <s v="Vencida"/>
    <s v="No"/>
    <s v="-"/>
    <x v="1"/>
  </r>
  <r>
    <s v="Video - La comunicación como expresión humana"/>
    <s v="GA4-240201524-AA1-EV01"/>
    <d v="2025-09-29T00:00:00"/>
    <d v="2025-10-05T00:00:00"/>
    <s v="Vencida"/>
    <s v="No"/>
    <s v="-"/>
    <x v="1"/>
  </r>
  <r>
    <s v="Taller programación orientada a objetos"/>
    <s v="GA4-220501095-AA2-EV01"/>
    <d v="2025-10-06T00:00:00"/>
    <d v="2025-10-13T00:00:00"/>
    <s v="Vencida"/>
    <s v="No"/>
    <s v="-"/>
    <x v="1"/>
  </r>
  <r>
    <s v="Bases UML y patrones de diseño"/>
    <s v="GA4-220501095-AA2-EV03"/>
    <d v="2025-10-06T00:00:00"/>
    <d v="2025-10-13T00:00:00"/>
    <s v="Vencida"/>
    <s v="No"/>
    <s v="-"/>
    <x v="1"/>
  </r>
  <r>
    <s v="Informe - Creación de contenidos comunicativos"/>
    <s v="GA4-240201524-AA2-EV01"/>
    <d v="2025-10-14T00:00:00"/>
    <d v="2025-10-19T00:00:00"/>
    <s v="Vencida"/>
    <s v="No"/>
    <s v="-"/>
    <x v="1"/>
  </r>
  <r>
    <s v="Diagrama de clases del proyecto"/>
    <s v="GA4-220501095-AA2-EV04"/>
    <d v="2025-10-20T00:00:00"/>
    <d v="2025-10-26T00:00:00"/>
    <s v="Vencida"/>
    <s v="No"/>
    <s v="-"/>
    <x v="1"/>
  </r>
  <r>
    <s v="Arquitectura de software según patrón de diseño"/>
    <s v="GA4-220501095-AA2-EV05"/>
    <d v="2025-10-20T00:00:00"/>
    <d v="2025-10-26T00:00:00"/>
    <s v="Vencida"/>
    <s v="No"/>
    <s v="-"/>
    <x v="1"/>
  </r>
  <r>
    <s v="Cuestionario (Inglés GA4)"/>
    <s v="GA4-240202501-AA1-EV01"/>
    <d v="2025-10-27T00:00:00"/>
    <d v="2026-03-02T00:00:00"/>
    <s v="Pendiente"/>
    <s v="No"/>
    <s v="-"/>
    <x v="2"/>
  </r>
  <r>
    <s v="Mapa mental PLE"/>
    <s v="GA4-240202501-AA1-EV02"/>
    <d v="2025-10-27T00:00:00"/>
    <d v="2025-11-03T00:00:00"/>
    <s v="Vencida"/>
    <s v="No"/>
    <s v="-"/>
    <x v="1"/>
  </r>
  <r>
    <s v="Diagrama de despliegue para proyecto de software"/>
    <s v="GA4-220501095-AA3-EV03"/>
    <d v="2025-11-04T00:00:00"/>
    <d v="2025-11-10T00:00:00"/>
    <s v="Vencida"/>
    <s v="No"/>
    <s v="-"/>
    <x v="1"/>
  </r>
  <r>
    <s v="Taller sobre validación de documentos"/>
    <s v="GA4-220501095-AA4-EV01"/>
    <d v="2025-11-04T00:00:00"/>
    <d v="2025-11-10T00:00:00"/>
    <s v="Vencida"/>
    <s v="No"/>
    <s v="-"/>
    <x v="1"/>
  </r>
  <r>
    <s v="Taller construcción del prototipo del software"/>
    <s v="GA5-220501095-AA1-EV01"/>
    <d v="2025-11-11T00:00:00"/>
    <d v="2025-11-17T00:00:00"/>
    <s v="Vencida"/>
    <s v="No"/>
    <s v="-"/>
    <x v="1"/>
  </r>
  <r>
    <s v="Mapa mental características socioeconómicas y tecnológicas"/>
    <s v="GA5-240201064-AA1-EV01"/>
    <d v="2025-11-18T00:00:00"/>
    <d v="2025-11-24T00:00:00"/>
    <s v="Vencida"/>
    <s v="No"/>
    <s v="-"/>
    <x v="1"/>
  </r>
  <r>
    <s v="Propuesta de investigación formativa"/>
    <s v="GA5-240201064-AA2-EV01"/>
    <d v="2025-11-18T00:00:00"/>
    <d v="2025-11-24T00:00:00"/>
    <s v="Vencida"/>
    <s v="No"/>
    <s v="-"/>
    <x v="1"/>
  </r>
  <r>
    <s v="Maquetación interfaz gráfica en HTML"/>
    <s v="GA5-220501095-AA1-EV04"/>
    <d v="2025-11-25T00:00:00"/>
    <d v="2025-12-17T00:00:00"/>
    <s v="Vencida"/>
    <s v="No"/>
    <s v="-"/>
    <x v="1"/>
  </r>
  <r>
    <s v="Mapa de navegación"/>
    <s v="GA5-220501095-AA1-EV05"/>
    <d v="2025-11-25T00:00:00"/>
    <d v="2025-12-17T00:00:00"/>
    <s v="Vencida"/>
    <s v="No"/>
    <s v="-"/>
    <x v="1"/>
  </r>
  <r>
    <s v="Nociones usabilidad y accesibilidad app móvil"/>
    <s v="GA5-220501095-AA1-EV06"/>
    <d v="2025-11-25T00:00:00"/>
    <d v="2025-12-17T00:00:00"/>
    <s v="Vencida"/>
    <s v="No"/>
    <s v="-"/>
    <x v="1"/>
  </r>
  <r>
    <s v="Elaboración interfaz gráfica y mapa de navegación app móvil"/>
    <s v="GA5-220501095-AA1-EV07"/>
    <d v="2026-02-09T00:00:00"/>
    <d v="2026-02-22T00:00:00"/>
    <s v="Pendiente"/>
    <s v="No"/>
    <s v="-"/>
    <x v="2"/>
  </r>
  <r>
    <s v="Maquetación interfaz gráfica en XML - Android"/>
    <s v="GA5-220501095-AA1-EV08"/>
    <d v="2026-02-09T00:00:00"/>
    <d v="2026-02-22T00:00:00"/>
    <s v="Pendiente"/>
    <s v="No"/>
    <s v="-"/>
    <x v="2"/>
  </r>
  <r>
    <s v="Diagrama de flujo proceso laboral (Inglés)"/>
    <s v="GA5-240202501-AA1-EV01"/>
    <d v="2026-02-23T00:00:00"/>
    <d v="2026-03-02T00:00:00"/>
    <s v="Pendiente"/>
    <s v="No"/>
    <s v="-"/>
    <x v="2"/>
  </r>
  <r>
    <s v="Video etapas básicas proceso empresa (Inglés)"/>
    <s v="GA5-240202501-AA1-EV03"/>
    <d v="2026-02-23T00:00:00"/>
    <d v="2026-03-02T00:00:00"/>
    <s v="Pendiente"/>
    <s v="No"/>
    <s v="-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C7B2DB-7CB1-486F-A5E9-F92FED71F3F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5">
  <location ref="A6:B10" firstHeaderRow="1" firstDataRow="1" firstDataCol="1"/>
  <pivotFields count="8">
    <pivotField showAll="0"/>
    <pivotField showAll="0"/>
    <pivotField numFmtId="14" showAll="0"/>
    <pivotField numFmtId="14"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2" fld="7" subtotal="count" baseField="0" baseItem="0"/>
  </dataFields>
  <chartFormats count="8"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FB601-86F1-4AD4-BCE3-4ADE970F5D2E}" name="Tareas" displayName="Tareas" ref="A1:H66" totalsRowShown="0" headerRowDxfId="22" dataDxfId="20" headerRowBorderDxfId="21" tableBorderDxfId="19" totalsRowBorderDxfId="18">
  <autoFilter ref="A1:H66" xr:uid="{4B4FB601-86F1-4AD4-BCE3-4ADE970F5D2E}"/>
  <tableColumns count="8">
    <tableColumn id="1" xr3:uid="{95908613-4431-452A-8926-10D3D68861CC}" name="Tarea" dataDxfId="17"/>
    <tableColumn id="2" xr3:uid="{8CFC3FDC-98F4-4969-B6DB-661E1FAF5863}" name="Código" dataDxfId="16"/>
    <tableColumn id="3" xr3:uid="{D326059B-6F90-4A00-9992-5FC01E9F924F}" name="Fecha de Apertura" dataDxfId="15"/>
    <tableColumn id="4" xr3:uid="{D114D5C1-366B-4D23-B83E-7544B394ABA5}" name="Fecha Límite" dataDxfId="14"/>
    <tableColumn id="5" xr3:uid="{8F35B973-BAB4-4E1D-B8AD-70CE10070FDD}" name="¿Vencida?" dataDxfId="13">
      <calculatedColumnFormula>IF(D2&lt;TODAY(),"Vencida","Pendiente")</calculatedColumnFormula>
    </tableColumn>
    <tableColumn id="6" xr3:uid="{4FF0C09D-4648-4C15-9458-51D3904654CD}" name="¿Entregada?" dataDxfId="12">
      <calculatedColumnFormula>IF(G2="A","Si",IF(G2="-","No","En revisión"))</calculatedColumnFormula>
    </tableColumn>
    <tableColumn id="7" xr3:uid="{50BF244B-CEE0-4976-ACBB-F9FBBB06BA9F}" name="Calificación" dataDxfId="11"/>
    <tableColumn id="10" xr3:uid="{DB0323F0-4DD4-44BE-A16C-72B0BDC13123}" name="Estado" dataDxfId="10">
      <calculatedColumnFormula>IF(G2="A","Completada",IF(Tareas[[#This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66"/>
  <sheetViews>
    <sheetView topLeftCell="F1" workbookViewId="0">
      <pane ySplit="1" topLeftCell="F39" activePane="bottomLeft" state="frozen"/>
      <selection activeCell="E1" sqref="E1"/>
      <selection pane="bottomLeft" activeCell="H66" sqref="H66"/>
    </sheetView>
  </sheetViews>
  <sheetFormatPr defaultColWidth="9.14453125" defaultRowHeight="15" x14ac:dyDescent="0.2"/>
  <cols>
    <col min="1" max="1" width="54.34765625" style="2" bestFit="1" customWidth="1"/>
    <col min="2" max="2" width="22.59765625" style="2" bestFit="1" customWidth="1"/>
    <col min="3" max="3" width="20.04296875" style="4" customWidth="1"/>
    <col min="4" max="4" width="14.9296875" style="2" customWidth="1"/>
    <col min="5" max="5" width="12.9140625" style="2" customWidth="1"/>
    <col min="6" max="6" width="14.66015625" style="2" customWidth="1"/>
    <col min="7" max="7" width="13.85546875" style="2" customWidth="1"/>
    <col min="8" max="8" width="11.56640625" style="2" bestFit="1" customWidth="1"/>
    <col min="9" max="16384" width="9.14453125" style="2"/>
  </cols>
  <sheetData>
    <row r="1" spans="1:8" x14ac:dyDescent="0.2">
      <c r="A1" s="10" t="s">
        <v>0</v>
      </c>
      <c r="B1" s="11" t="s">
        <v>1</v>
      </c>
      <c r="C1" s="12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141</v>
      </c>
    </row>
    <row r="2" spans="1:8" x14ac:dyDescent="0.2">
      <c r="A2" s="9" t="s">
        <v>7</v>
      </c>
      <c r="B2" s="5" t="s">
        <v>8</v>
      </c>
      <c r="C2" s="6">
        <v>45761</v>
      </c>
      <c r="D2" s="6">
        <v>45768</v>
      </c>
      <c r="E2" s="7" t="str">
        <f ca="1">IF(D2&lt;TODAY(),"Vencida","Pendiente")</f>
        <v>Vencida</v>
      </c>
      <c r="F2" s="7" t="str">
        <f t="shared" ref="F2:F33" si="0">IF(G2="A","Si",IF(G2="-","No","En revisión"))</f>
        <v>Si</v>
      </c>
      <c r="G2" s="7" t="s">
        <v>9</v>
      </c>
      <c r="H2" s="17" t="str">
        <f ca="1">IF(G2="A","Completada",IF(Tareas[[#This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" spans="1:8" x14ac:dyDescent="0.2">
      <c r="A3" s="9" t="s">
        <v>10</v>
      </c>
      <c r="B3" s="5" t="s">
        <v>11</v>
      </c>
      <c r="C3" s="6">
        <v>45761</v>
      </c>
      <c r="D3" s="6">
        <v>45768</v>
      </c>
      <c r="E3" s="7" t="str">
        <f t="shared" ref="E3:E66" ca="1" si="1">IF(D3&lt;TODAY(),"Vencida","Pendiente")</f>
        <v>Vencida</v>
      </c>
      <c r="F3" s="7" t="str">
        <f t="shared" si="0"/>
        <v>Si</v>
      </c>
      <c r="G3" s="7" t="s">
        <v>9</v>
      </c>
      <c r="H3" s="17" t="str">
        <f ca="1">IF(G3="A","Completada",IF(Tareas[[#This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4" spans="1:8" x14ac:dyDescent="0.2">
      <c r="A4" s="9" t="s">
        <v>22</v>
      </c>
      <c r="B4" s="5" t="s">
        <v>23</v>
      </c>
      <c r="C4" s="6">
        <v>45769</v>
      </c>
      <c r="D4" s="6">
        <v>45775</v>
      </c>
      <c r="E4" s="7" t="str">
        <f t="shared" ca="1" si="1"/>
        <v>Vencida</v>
      </c>
      <c r="F4" s="7" t="str">
        <f t="shared" si="0"/>
        <v>Si</v>
      </c>
      <c r="G4" s="7" t="s">
        <v>9</v>
      </c>
      <c r="H4" s="17" t="str">
        <f ca="1">IF(G4="A","Completada",IF(Tareas[[#This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5" spans="1:8" x14ac:dyDescent="0.2">
      <c r="A5" s="9" t="s">
        <v>24</v>
      </c>
      <c r="B5" s="5" t="s">
        <v>25</v>
      </c>
      <c r="C5" s="6">
        <v>45769</v>
      </c>
      <c r="D5" s="6">
        <v>45775</v>
      </c>
      <c r="E5" s="7" t="str">
        <f t="shared" ca="1" si="1"/>
        <v>Vencida</v>
      </c>
      <c r="F5" s="7" t="str">
        <f t="shared" si="0"/>
        <v>Si</v>
      </c>
      <c r="G5" s="7" t="s">
        <v>9</v>
      </c>
      <c r="H5" s="17" t="str">
        <f ca="1">IF(G5="A","Completada",IF(Tareas[[#This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6" spans="1:8" x14ac:dyDescent="0.2">
      <c r="A6" s="9" t="s">
        <v>12</v>
      </c>
      <c r="B6" s="5" t="s">
        <v>13</v>
      </c>
      <c r="C6" s="6">
        <v>45776</v>
      </c>
      <c r="D6" s="6">
        <v>45782</v>
      </c>
      <c r="E6" s="7" t="str">
        <f t="shared" ca="1" si="1"/>
        <v>Vencida</v>
      </c>
      <c r="F6" s="7" t="str">
        <f t="shared" si="0"/>
        <v>Si</v>
      </c>
      <c r="G6" s="7" t="s">
        <v>9</v>
      </c>
      <c r="H6" s="17" t="str">
        <f ca="1">IF(G6="A","Completada",IF(Tareas[[#This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7" spans="1:8" x14ac:dyDescent="0.2">
      <c r="A7" s="9" t="s">
        <v>14</v>
      </c>
      <c r="B7" s="5" t="s">
        <v>15</v>
      </c>
      <c r="C7" s="6">
        <v>45776</v>
      </c>
      <c r="D7" s="6">
        <v>45782</v>
      </c>
      <c r="E7" s="7" t="str">
        <f t="shared" ca="1" si="1"/>
        <v>Vencida</v>
      </c>
      <c r="F7" s="7" t="str">
        <f t="shared" si="0"/>
        <v>Si</v>
      </c>
      <c r="G7" s="7" t="s">
        <v>9</v>
      </c>
      <c r="H7" s="17" t="str">
        <f ca="1">IF(G7="A","Completada",IF(Tareas[[#This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8" spans="1:8" x14ac:dyDescent="0.2">
      <c r="A8" s="9" t="s">
        <v>28</v>
      </c>
      <c r="B8" s="5" t="s">
        <v>29</v>
      </c>
      <c r="C8" s="6">
        <v>45783</v>
      </c>
      <c r="D8" s="6">
        <v>45789</v>
      </c>
      <c r="E8" s="7" t="str">
        <f t="shared" ca="1" si="1"/>
        <v>Vencida</v>
      </c>
      <c r="F8" s="7" t="str">
        <f t="shared" si="0"/>
        <v>Si</v>
      </c>
      <c r="G8" s="7" t="s">
        <v>9</v>
      </c>
      <c r="H8" s="17" t="str">
        <f ca="1">IF(G8="A","Completada",IF(Tareas[[#This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9" spans="1:8" x14ac:dyDescent="0.2">
      <c r="A9" s="9" t="s">
        <v>30</v>
      </c>
      <c r="B9" s="5" t="s">
        <v>31</v>
      </c>
      <c r="C9" s="6">
        <v>45783</v>
      </c>
      <c r="D9" s="6">
        <v>46083</v>
      </c>
      <c r="E9" s="7" t="str">
        <f t="shared" ca="1" si="1"/>
        <v>Pendiente</v>
      </c>
      <c r="F9" s="7" t="str">
        <f t="shared" si="0"/>
        <v>Si</v>
      </c>
      <c r="G9" s="7" t="s">
        <v>9</v>
      </c>
      <c r="H9" s="17" t="str">
        <f ca="1">IF(G9="A","Completada",IF(Tareas[[#This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0" spans="1:8" x14ac:dyDescent="0.2">
      <c r="A10" s="9" t="s">
        <v>44</v>
      </c>
      <c r="B10" s="5" t="s">
        <v>45</v>
      </c>
      <c r="C10" s="6">
        <v>45790</v>
      </c>
      <c r="D10" s="6">
        <v>46083</v>
      </c>
      <c r="E10" s="7" t="str">
        <f t="shared" ca="1" si="1"/>
        <v>Pendiente</v>
      </c>
      <c r="F10" s="7" t="str">
        <f t="shared" si="0"/>
        <v>Si</v>
      </c>
      <c r="G10" s="7" t="s">
        <v>9</v>
      </c>
      <c r="H10" s="17" t="str">
        <f ca="1">IF(G10="A","Completada",IF(Tareas[[#This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1" spans="1:8" x14ac:dyDescent="0.2">
      <c r="A11" s="9" t="s">
        <v>46</v>
      </c>
      <c r="B11" s="5" t="s">
        <v>47</v>
      </c>
      <c r="C11" s="6">
        <v>45790</v>
      </c>
      <c r="D11" s="6">
        <v>45796</v>
      </c>
      <c r="E11" s="7" t="str">
        <f t="shared" ca="1" si="1"/>
        <v>Vencida</v>
      </c>
      <c r="F11" s="7" t="str">
        <f t="shared" si="0"/>
        <v>Si</v>
      </c>
      <c r="G11" s="7" t="s">
        <v>9</v>
      </c>
      <c r="H11" s="17" t="str">
        <f ca="1">IF(G11="A","Completada",IF(Tareas[[#This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2" spans="1:8" x14ac:dyDescent="0.2">
      <c r="A12" s="9" t="s">
        <v>16</v>
      </c>
      <c r="B12" s="5" t="s">
        <v>17</v>
      </c>
      <c r="C12" s="6">
        <v>45797</v>
      </c>
      <c r="D12" s="6">
        <v>45803</v>
      </c>
      <c r="E12" s="7" t="str">
        <f t="shared" ca="1" si="1"/>
        <v>Vencida</v>
      </c>
      <c r="F12" s="7" t="str">
        <f t="shared" si="0"/>
        <v>Si</v>
      </c>
      <c r="G12" s="7" t="s">
        <v>9</v>
      </c>
      <c r="H12" s="17" t="str">
        <f ca="1">IF(G12="A","Completada",IF(Tareas[[#This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3" spans="1:8" x14ac:dyDescent="0.2">
      <c r="A13" s="9" t="s">
        <v>26</v>
      </c>
      <c r="B13" s="5" t="s">
        <v>27</v>
      </c>
      <c r="C13" s="6">
        <v>45804</v>
      </c>
      <c r="D13" s="6">
        <v>45810</v>
      </c>
      <c r="E13" s="7" t="str">
        <f t="shared" ca="1" si="1"/>
        <v>Vencida</v>
      </c>
      <c r="F13" s="7" t="str">
        <f t="shared" si="0"/>
        <v>Si</v>
      </c>
      <c r="G13" s="7" t="s">
        <v>9</v>
      </c>
      <c r="H13" s="17" t="str">
        <f ca="1">IF(G13="A","Completada",IF(Tareas[[#This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4" spans="1:8" x14ac:dyDescent="0.2">
      <c r="A14" s="9" t="s">
        <v>18</v>
      </c>
      <c r="B14" s="5" t="s">
        <v>19</v>
      </c>
      <c r="C14" s="6">
        <v>45811</v>
      </c>
      <c r="D14" s="6">
        <v>45817</v>
      </c>
      <c r="E14" s="7" t="str">
        <f t="shared" ca="1" si="1"/>
        <v>Vencida</v>
      </c>
      <c r="F14" s="7" t="str">
        <f t="shared" si="0"/>
        <v>Si</v>
      </c>
      <c r="G14" s="7" t="s">
        <v>9</v>
      </c>
      <c r="H14" s="17" t="str">
        <f ca="1">IF(G14="A","Completada",IF(Tareas[[#This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5" spans="1:8" x14ac:dyDescent="0.2">
      <c r="A15" s="9" t="s">
        <v>20</v>
      </c>
      <c r="B15" s="5" t="s">
        <v>21</v>
      </c>
      <c r="C15" s="6">
        <v>45811</v>
      </c>
      <c r="D15" s="6">
        <v>45817</v>
      </c>
      <c r="E15" s="7" t="str">
        <f t="shared" ca="1" si="1"/>
        <v>Vencida</v>
      </c>
      <c r="F15" s="7" t="str">
        <f t="shared" si="0"/>
        <v>Si</v>
      </c>
      <c r="G15" s="7" t="s">
        <v>9</v>
      </c>
      <c r="H15" s="17" t="str">
        <f ca="1">IF(G15="A","Completada",IF(Tareas[[#This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6" spans="1:8" x14ac:dyDescent="0.2">
      <c r="A16" s="9" t="s">
        <v>32</v>
      </c>
      <c r="B16" s="5" t="s">
        <v>33</v>
      </c>
      <c r="C16" s="6">
        <v>45818</v>
      </c>
      <c r="D16" s="6">
        <v>45824</v>
      </c>
      <c r="E16" s="7" t="str">
        <f t="shared" ca="1" si="1"/>
        <v>Vencida</v>
      </c>
      <c r="F16" s="7" t="str">
        <f t="shared" si="0"/>
        <v>Si</v>
      </c>
      <c r="G16" s="7" t="s">
        <v>9</v>
      </c>
      <c r="H16" s="17" t="str">
        <f ca="1">IF(G16="A","Completada",IF(Tareas[[#This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7" spans="1:8" x14ac:dyDescent="0.2">
      <c r="A17" s="9" t="s">
        <v>34</v>
      </c>
      <c r="B17" s="5" t="s">
        <v>35</v>
      </c>
      <c r="C17" s="6">
        <v>45825</v>
      </c>
      <c r="D17" s="6">
        <v>45831</v>
      </c>
      <c r="E17" s="7" t="str">
        <f t="shared" ca="1" si="1"/>
        <v>Vencida</v>
      </c>
      <c r="F17" s="7" t="str">
        <f t="shared" si="0"/>
        <v>Si</v>
      </c>
      <c r="G17" s="7" t="s">
        <v>9</v>
      </c>
      <c r="H17" s="17" t="str">
        <f ca="1">IF(G17="A","Completada",IF(Tareas[[#This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8" spans="1:8" x14ac:dyDescent="0.2">
      <c r="A18" s="9" t="s">
        <v>53</v>
      </c>
      <c r="B18" s="5" t="s">
        <v>54</v>
      </c>
      <c r="C18" s="6">
        <v>45832</v>
      </c>
      <c r="D18" s="6">
        <v>46083</v>
      </c>
      <c r="E18" s="7" t="str">
        <f t="shared" ca="1" si="1"/>
        <v>Pendiente</v>
      </c>
      <c r="F18" s="7" t="str">
        <f t="shared" si="0"/>
        <v>Si</v>
      </c>
      <c r="G18" s="7" t="s">
        <v>9</v>
      </c>
      <c r="H18" s="17" t="str">
        <f ca="1">IF(G18="A","Completada",IF(Tareas[[#This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19" spans="1:8" x14ac:dyDescent="0.2">
      <c r="A19" s="9" t="s">
        <v>55</v>
      </c>
      <c r="B19" s="5" t="s">
        <v>56</v>
      </c>
      <c r="C19" s="6">
        <v>45832</v>
      </c>
      <c r="D19" s="6">
        <v>45838</v>
      </c>
      <c r="E19" s="7" t="str">
        <f t="shared" ca="1" si="1"/>
        <v>Vencida</v>
      </c>
      <c r="F19" s="7" t="str">
        <f t="shared" si="0"/>
        <v>No</v>
      </c>
      <c r="G19" s="7" t="s">
        <v>50</v>
      </c>
      <c r="H19" s="17" t="str">
        <f ca="1">IF(G19="A","Completada",IF(Tareas[[#This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20" spans="1:8" x14ac:dyDescent="0.2">
      <c r="A20" s="9" t="s">
        <v>36</v>
      </c>
      <c r="B20" s="5" t="s">
        <v>37</v>
      </c>
      <c r="C20" s="6">
        <v>45839</v>
      </c>
      <c r="D20" s="6">
        <v>45845</v>
      </c>
      <c r="E20" s="7" t="str">
        <f t="shared" ca="1" si="1"/>
        <v>Vencida</v>
      </c>
      <c r="F20" s="7" t="str">
        <f t="shared" si="0"/>
        <v>Si</v>
      </c>
      <c r="G20" s="7" t="s">
        <v>9</v>
      </c>
      <c r="H20" s="17" t="str">
        <f ca="1">IF(G20="A","Completada",IF(Tareas[[#This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1" spans="1:8" x14ac:dyDescent="0.2">
      <c r="A21" s="9" t="s">
        <v>38</v>
      </c>
      <c r="B21" s="5" t="s">
        <v>39</v>
      </c>
      <c r="C21" s="6">
        <v>45839</v>
      </c>
      <c r="D21" s="6">
        <v>45845</v>
      </c>
      <c r="E21" s="7" t="str">
        <f t="shared" ca="1" si="1"/>
        <v>Vencida</v>
      </c>
      <c r="F21" s="7" t="str">
        <f t="shared" si="0"/>
        <v>Si</v>
      </c>
      <c r="G21" s="7" t="s">
        <v>9</v>
      </c>
      <c r="H21" s="17" t="str">
        <f ca="1">IF(G21="A","Completada",IF(Tareas[[#This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2" spans="1:8" x14ac:dyDescent="0.2">
      <c r="A22" s="9" t="s">
        <v>57</v>
      </c>
      <c r="B22" s="5" t="s">
        <v>58</v>
      </c>
      <c r="C22" s="6">
        <v>45846</v>
      </c>
      <c r="D22" s="6">
        <v>45852</v>
      </c>
      <c r="E22" s="7" t="str">
        <f t="shared" ca="1" si="1"/>
        <v>Vencida</v>
      </c>
      <c r="F22" s="7" t="str">
        <f t="shared" si="0"/>
        <v>Si</v>
      </c>
      <c r="G22" s="7" t="s">
        <v>9</v>
      </c>
      <c r="H22" s="17" t="str">
        <f ca="1">IF(G22="A","Completada",IF(Tareas[[#This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3" spans="1:8" x14ac:dyDescent="0.2">
      <c r="A23" s="9" t="s">
        <v>59</v>
      </c>
      <c r="B23" s="5" t="s">
        <v>60</v>
      </c>
      <c r="C23" s="6">
        <v>45846</v>
      </c>
      <c r="D23" s="6">
        <v>46083</v>
      </c>
      <c r="E23" s="7" t="str">
        <f t="shared" ca="1" si="1"/>
        <v>Pendiente</v>
      </c>
      <c r="F23" s="7" t="str">
        <f t="shared" si="0"/>
        <v>Si</v>
      </c>
      <c r="G23" s="7" t="s">
        <v>9</v>
      </c>
      <c r="H23" s="17" t="str">
        <f ca="1">IF(G23="A","Completada",IF(Tareas[[#This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4" spans="1:8" x14ac:dyDescent="0.2">
      <c r="A24" s="9" t="s">
        <v>40</v>
      </c>
      <c r="B24" s="5" t="s">
        <v>41</v>
      </c>
      <c r="C24" s="6">
        <v>45853</v>
      </c>
      <c r="D24" s="6">
        <v>45859</v>
      </c>
      <c r="E24" s="7" t="str">
        <f t="shared" ca="1" si="1"/>
        <v>Vencida</v>
      </c>
      <c r="F24" s="7" t="str">
        <f t="shared" si="0"/>
        <v>Si</v>
      </c>
      <c r="G24" s="7" t="s">
        <v>9</v>
      </c>
      <c r="H24" s="17" t="str">
        <f ca="1">IF(G24="A","Completada",IF(Tareas[[#This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5" spans="1:8" x14ac:dyDescent="0.2">
      <c r="A25" s="9" t="s">
        <v>42</v>
      </c>
      <c r="B25" s="5" t="s">
        <v>43</v>
      </c>
      <c r="C25" s="6">
        <v>45853</v>
      </c>
      <c r="D25" s="6">
        <v>45859</v>
      </c>
      <c r="E25" s="7" t="str">
        <f t="shared" ca="1" si="1"/>
        <v>Vencida</v>
      </c>
      <c r="F25" s="7" t="str">
        <f t="shared" si="0"/>
        <v>Si</v>
      </c>
      <c r="G25" s="7" t="s">
        <v>9</v>
      </c>
      <c r="H25" s="17" t="str">
        <f ca="1">IF(G25="A","Completada",IF(Tareas[[#This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6" spans="1:8" x14ac:dyDescent="0.2">
      <c r="A26" s="9" t="s">
        <v>48</v>
      </c>
      <c r="B26" s="5" t="s">
        <v>49</v>
      </c>
      <c r="C26" s="6">
        <v>45860</v>
      </c>
      <c r="D26" s="6">
        <v>45866</v>
      </c>
      <c r="E26" s="7" t="str">
        <f t="shared" ca="1" si="1"/>
        <v>Vencida</v>
      </c>
      <c r="F26" s="7" t="str">
        <f t="shared" si="0"/>
        <v>No</v>
      </c>
      <c r="G26" s="7" t="s">
        <v>50</v>
      </c>
      <c r="H26" s="17" t="str">
        <f ca="1">IF(G26="A","Completada",IF(Tareas[[#This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27" spans="1:8" x14ac:dyDescent="0.2">
      <c r="A27" s="9" t="s">
        <v>51</v>
      </c>
      <c r="B27" s="5" t="s">
        <v>52</v>
      </c>
      <c r="C27" s="6">
        <v>45860</v>
      </c>
      <c r="D27" s="6">
        <v>45866</v>
      </c>
      <c r="E27" s="7" t="str">
        <f t="shared" ca="1" si="1"/>
        <v>Vencida</v>
      </c>
      <c r="F27" s="7" t="str">
        <f t="shared" si="0"/>
        <v>Si</v>
      </c>
      <c r="G27" s="7" t="s">
        <v>9</v>
      </c>
      <c r="H27" s="17" t="str">
        <f ca="1">IF(G27="A","Completada",IF(Tareas[[#This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28" spans="1:8" x14ac:dyDescent="0.2">
      <c r="A28" s="9" t="s">
        <v>61</v>
      </c>
      <c r="B28" s="5" t="s">
        <v>62</v>
      </c>
      <c r="C28" s="6">
        <v>45867</v>
      </c>
      <c r="D28" s="6">
        <v>45873</v>
      </c>
      <c r="E28" s="7" t="str">
        <f t="shared" ca="1" si="1"/>
        <v>Vencida</v>
      </c>
      <c r="F28" s="7" t="str">
        <f t="shared" si="0"/>
        <v>No</v>
      </c>
      <c r="G28" s="7" t="s">
        <v>50</v>
      </c>
      <c r="H28" s="17" t="str">
        <f ca="1">IF(G28="A","Completada",IF(Tareas[[#This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29" spans="1:8" x14ac:dyDescent="0.2">
      <c r="A29" s="9" t="s">
        <v>63</v>
      </c>
      <c r="B29" s="5" t="s">
        <v>64</v>
      </c>
      <c r="C29" s="6">
        <v>45867</v>
      </c>
      <c r="D29" s="6">
        <v>45873</v>
      </c>
      <c r="E29" s="7" t="str">
        <f t="shared" ca="1" si="1"/>
        <v>Vencida</v>
      </c>
      <c r="F29" s="7" t="str">
        <f t="shared" si="0"/>
        <v>Si</v>
      </c>
      <c r="G29" s="7" t="s">
        <v>9</v>
      </c>
      <c r="H29" s="17" t="str">
        <f ca="1">IF(G29="A","Completada",IF(Tareas[[#This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0" spans="1:8" x14ac:dyDescent="0.2">
      <c r="A30" s="9" t="s">
        <v>65</v>
      </c>
      <c r="B30" s="5" t="s">
        <v>66</v>
      </c>
      <c r="C30" s="6">
        <v>45874</v>
      </c>
      <c r="D30" s="6">
        <v>45880</v>
      </c>
      <c r="E30" s="7" t="str">
        <f t="shared" ca="1" si="1"/>
        <v>Vencida</v>
      </c>
      <c r="F30" s="7" t="str">
        <f t="shared" si="0"/>
        <v>Si</v>
      </c>
      <c r="G30" s="7" t="s">
        <v>9</v>
      </c>
      <c r="H30" s="17" t="str">
        <f ca="1">IF(G30="A","Completada",IF(Tareas[[#This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1" spans="1:8" x14ac:dyDescent="0.2">
      <c r="A31" s="9" t="s">
        <v>67</v>
      </c>
      <c r="B31" s="5" t="s">
        <v>68</v>
      </c>
      <c r="C31" s="6">
        <v>45874</v>
      </c>
      <c r="D31" s="6">
        <v>45880</v>
      </c>
      <c r="E31" s="7" t="str">
        <f t="shared" ca="1" si="1"/>
        <v>Vencida</v>
      </c>
      <c r="F31" s="7" t="str">
        <f t="shared" si="0"/>
        <v>Si</v>
      </c>
      <c r="G31" s="7" t="s">
        <v>9</v>
      </c>
      <c r="H31" s="17" t="str">
        <f ca="1">IF(G31="A","Completada",IF(Tareas[[#This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2" spans="1:8" x14ac:dyDescent="0.2">
      <c r="A32" s="9" t="s">
        <v>77</v>
      </c>
      <c r="B32" s="5" t="s">
        <v>78</v>
      </c>
      <c r="C32" s="6">
        <v>45881</v>
      </c>
      <c r="D32" s="6">
        <v>46083</v>
      </c>
      <c r="E32" s="7" t="str">
        <f t="shared" ca="1" si="1"/>
        <v>Pendiente</v>
      </c>
      <c r="F32" s="7" t="str">
        <f t="shared" si="0"/>
        <v>Si</v>
      </c>
      <c r="G32" s="7" t="s">
        <v>9</v>
      </c>
      <c r="H32" s="17" t="str">
        <f ca="1">IF(G32="A","Completada",IF(Tareas[[#This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3" spans="1:8" x14ac:dyDescent="0.2">
      <c r="A33" s="9" t="s">
        <v>79</v>
      </c>
      <c r="B33" s="5" t="s">
        <v>80</v>
      </c>
      <c r="C33" s="6">
        <v>45881</v>
      </c>
      <c r="D33" s="6">
        <v>45887</v>
      </c>
      <c r="E33" s="7" t="str">
        <f t="shared" ca="1" si="1"/>
        <v>Vencida</v>
      </c>
      <c r="F33" s="7" t="str">
        <f t="shared" si="0"/>
        <v>No</v>
      </c>
      <c r="G33" s="7" t="s">
        <v>50</v>
      </c>
      <c r="H33" s="17" t="str">
        <f ca="1">IF(G33="A","Completada",IF(Tareas[[#This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34" spans="1:8" x14ac:dyDescent="0.2">
      <c r="A34" s="9" t="s">
        <v>87</v>
      </c>
      <c r="B34" s="5" t="s">
        <v>88</v>
      </c>
      <c r="C34" s="6">
        <v>45888</v>
      </c>
      <c r="D34" s="6">
        <v>46083</v>
      </c>
      <c r="E34" s="7" t="str">
        <f t="shared" ca="1" si="1"/>
        <v>Pendiente</v>
      </c>
      <c r="F34" s="7" t="str">
        <f t="shared" ref="F34:F65" si="2">IF(G34="A","Si",IF(G34="-","No","En revisión"))</f>
        <v>No</v>
      </c>
      <c r="G34" s="7" t="s">
        <v>50</v>
      </c>
      <c r="H34" s="17" t="str">
        <f ca="1">IF(G34="A","Completada",IF(Tareas[[#This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Proxima</v>
      </c>
    </row>
    <row r="35" spans="1:8" x14ac:dyDescent="0.2">
      <c r="A35" s="9" t="s">
        <v>89</v>
      </c>
      <c r="B35" s="5" t="s">
        <v>90</v>
      </c>
      <c r="C35" s="6">
        <v>45888</v>
      </c>
      <c r="D35" s="6">
        <v>45893</v>
      </c>
      <c r="E35" s="7" t="str">
        <f t="shared" ca="1" si="1"/>
        <v>Vencida</v>
      </c>
      <c r="F35" s="7" t="str">
        <f t="shared" si="2"/>
        <v>No</v>
      </c>
      <c r="G35" s="7" t="s">
        <v>50</v>
      </c>
      <c r="H35" s="17" t="str">
        <f ca="1">IF(G35="A","Completada",IF(Tareas[[#This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36" spans="1:8" x14ac:dyDescent="0.2">
      <c r="A36" s="9" t="s">
        <v>69</v>
      </c>
      <c r="B36" s="5" t="s">
        <v>70</v>
      </c>
      <c r="C36" s="6">
        <v>45894</v>
      </c>
      <c r="D36" s="6">
        <v>45900</v>
      </c>
      <c r="E36" s="7" t="str">
        <f t="shared" ca="1" si="1"/>
        <v>Vencida</v>
      </c>
      <c r="F36" s="7" t="str">
        <f t="shared" si="2"/>
        <v>Si</v>
      </c>
      <c r="G36" s="7" t="s">
        <v>9</v>
      </c>
      <c r="H36" s="17" t="str">
        <f ca="1">IF(G36="A","Completada",IF(Tareas[[#This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7" spans="1:8" x14ac:dyDescent="0.2">
      <c r="A37" s="9" t="s">
        <v>71</v>
      </c>
      <c r="B37" s="5" t="s">
        <v>72</v>
      </c>
      <c r="C37" s="6">
        <v>45894</v>
      </c>
      <c r="D37" s="6">
        <v>45900</v>
      </c>
      <c r="E37" s="7" t="str">
        <f t="shared" ca="1" si="1"/>
        <v>Vencida</v>
      </c>
      <c r="F37" s="7" t="str">
        <f t="shared" si="2"/>
        <v>Si</v>
      </c>
      <c r="G37" s="7" t="s">
        <v>9</v>
      </c>
      <c r="H37" s="17" t="str">
        <f ca="1">IF(G37="A","Completada",IF(Tareas[[#This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Completada</v>
      </c>
    </row>
    <row r="38" spans="1:8" x14ac:dyDescent="0.2">
      <c r="A38" s="9" t="s">
        <v>81</v>
      </c>
      <c r="B38" s="5" t="s">
        <v>82</v>
      </c>
      <c r="C38" s="6">
        <v>45901</v>
      </c>
      <c r="D38" s="6">
        <v>45907</v>
      </c>
      <c r="E38" s="7" t="str">
        <f t="shared" ca="1" si="1"/>
        <v>Vencida</v>
      </c>
      <c r="F38" s="7" t="str">
        <f t="shared" si="2"/>
        <v>No</v>
      </c>
      <c r="G38" s="7" t="s">
        <v>50</v>
      </c>
      <c r="H38" s="17" t="str">
        <f ca="1">IF(G38="A","Completada",IF(Tareas[[#This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39" spans="1:8" x14ac:dyDescent="0.2">
      <c r="A39" s="9" t="s">
        <v>83</v>
      </c>
      <c r="B39" s="5" t="s">
        <v>84</v>
      </c>
      <c r="C39" s="6">
        <v>45901</v>
      </c>
      <c r="D39" s="6">
        <v>45907</v>
      </c>
      <c r="E39" s="7" t="str">
        <f t="shared" ca="1" si="1"/>
        <v>Vencida</v>
      </c>
      <c r="F39" s="7" t="str">
        <f t="shared" si="2"/>
        <v>No</v>
      </c>
      <c r="G39" s="7" t="s">
        <v>50</v>
      </c>
      <c r="H39" s="17" t="str">
        <f ca="1">IF(G39="A","Completada",IF(Tareas[[#This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0" spans="1:8" x14ac:dyDescent="0.2">
      <c r="A40" s="9" t="s">
        <v>85</v>
      </c>
      <c r="B40" s="5" t="s">
        <v>86</v>
      </c>
      <c r="C40" s="6">
        <v>45901</v>
      </c>
      <c r="D40" s="6">
        <v>45907</v>
      </c>
      <c r="E40" s="7" t="str">
        <f t="shared" ca="1" si="1"/>
        <v>Vencida</v>
      </c>
      <c r="F40" s="7" t="str">
        <f t="shared" si="2"/>
        <v>No</v>
      </c>
      <c r="G40" s="7" t="s">
        <v>50</v>
      </c>
      <c r="H40" s="17" t="str">
        <f ca="1">IF(G40="A","Completada",IF(Tareas[[#This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1" spans="1:8" x14ac:dyDescent="0.2">
      <c r="A41" s="9" t="s">
        <v>91</v>
      </c>
      <c r="B41" s="5" t="s">
        <v>92</v>
      </c>
      <c r="C41" s="6">
        <v>45908</v>
      </c>
      <c r="D41" s="6">
        <v>46083</v>
      </c>
      <c r="E41" s="7" t="str">
        <f t="shared" ca="1" si="1"/>
        <v>Pendiente</v>
      </c>
      <c r="F41" s="7" t="str">
        <f t="shared" si="2"/>
        <v>No</v>
      </c>
      <c r="G41" s="7" t="s">
        <v>50</v>
      </c>
      <c r="H41" s="17" t="str">
        <f ca="1">IF(G41="A","Completada",IF(Tareas[[#This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Proxima</v>
      </c>
    </row>
    <row r="42" spans="1:8" x14ac:dyDescent="0.2">
      <c r="A42" s="9" t="s">
        <v>93</v>
      </c>
      <c r="B42" s="5" t="s">
        <v>94</v>
      </c>
      <c r="C42" s="6">
        <v>45908</v>
      </c>
      <c r="D42" s="6">
        <v>45914</v>
      </c>
      <c r="E42" s="7" t="str">
        <f t="shared" ca="1" si="1"/>
        <v>Vencida</v>
      </c>
      <c r="F42" s="7" t="str">
        <f t="shared" si="2"/>
        <v>No</v>
      </c>
      <c r="G42" s="7" t="s">
        <v>50</v>
      </c>
      <c r="H42" s="17" t="str">
        <f ca="1">IF(G42="A","Completada",IF(Tareas[[#This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3" spans="1:8" x14ac:dyDescent="0.2">
      <c r="A43" s="9" t="s">
        <v>73</v>
      </c>
      <c r="B43" s="5" t="s">
        <v>74</v>
      </c>
      <c r="C43" s="6">
        <v>45915</v>
      </c>
      <c r="D43" s="6">
        <v>45921</v>
      </c>
      <c r="E43" s="7" t="str">
        <f t="shared" ca="1" si="1"/>
        <v>Vencida</v>
      </c>
      <c r="F43" s="7" t="str">
        <f t="shared" si="2"/>
        <v>No</v>
      </c>
      <c r="G43" s="7" t="s">
        <v>50</v>
      </c>
      <c r="H43" s="17" t="str">
        <f ca="1">IF(G43="A","Completada",IF(Tareas[[#This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4" spans="1:8" x14ac:dyDescent="0.2">
      <c r="A44" s="9" t="s">
        <v>75</v>
      </c>
      <c r="B44" s="5" t="s">
        <v>76</v>
      </c>
      <c r="C44" s="6">
        <v>45915</v>
      </c>
      <c r="D44" s="6">
        <v>45921</v>
      </c>
      <c r="E44" s="7" t="str">
        <f t="shared" ca="1" si="1"/>
        <v>Vencida</v>
      </c>
      <c r="F44" s="7" t="str">
        <f t="shared" si="2"/>
        <v>No</v>
      </c>
      <c r="G44" s="7" t="s">
        <v>50</v>
      </c>
      <c r="H44" s="17" t="str">
        <f ca="1">IF(G44="A","Completada",IF(Tareas[[#This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5" spans="1:8" x14ac:dyDescent="0.2">
      <c r="A45" s="9" t="s">
        <v>95</v>
      </c>
      <c r="B45" s="5" t="s">
        <v>96</v>
      </c>
      <c r="C45" s="6">
        <v>45922</v>
      </c>
      <c r="D45" s="6">
        <v>45928</v>
      </c>
      <c r="E45" s="7" t="str">
        <f t="shared" ca="1" si="1"/>
        <v>Vencida</v>
      </c>
      <c r="F45" s="7" t="str">
        <f t="shared" si="2"/>
        <v>No</v>
      </c>
      <c r="G45" s="7" t="s">
        <v>50</v>
      </c>
      <c r="H45" s="17" t="str">
        <f ca="1">IF(G45="A","Completada",IF(Tareas[[#This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6" spans="1:8" x14ac:dyDescent="0.2">
      <c r="A46" s="9" t="s">
        <v>97</v>
      </c>
      <c r="B46" s="5" t="s">
        <v>98</v>
      </c>
      <c r="C46" s="6">
        <v>45922</v>
      </c>
      <c r="D46" s="6">
        <v>45928</v>
      </c>
      <c r="E46" s="7" t="str">
        <f t="shared" ca="1" si="1"/>
        <v>Vencida</v>
      </c>
      <c r="F46" s="7" t="str">
        <f t="shared" si="2"/>
        <v>No</v>
      </c>
      <c r="G46" s="7" t="s">
        <v>50</v>
      </c>
      <c r="H46" s="17" t="str">
        <f ca="1">IF(G46="A","Completada",IF(Tareas[[#This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7" spans="1:8" x14ac:dyDescent="0.2">
      <c r="A47" s="9" t="s">
        <v>111</v>
      </c>
      <c r="B47" s="5" t="s">
        <v>112</v>
      </c>
      <c r="C47" s="6">
        <v>45929</v>
      </c>
      <c r="D47" s="6">
        <v>45935</v>
      </c>
      <c r="E47" s="7" t="str">
        <f t="shared" ca="1" si="1"/>
        <v>Vencida</v>
      </c>
      <c r="F47" s="7" t="str">
        <f t="shared" si="2"/>
        <v>No</v>
      </c>
      <c r="G47" s="7" t="s">
        <v>50</v>
      </c>
      <c r="H47" s="17" t="str">
        <f ca="1">IF(G47="A","Completada",IF(Tareas[[#This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8" spans="1:8" x14ac:dyDescent="0.2">
      <c r="A48" s="9" t="s">
        <v>99</v>
      </c>
      <c r="B48" s="5" t="s">
        <v>100</v>
      </c>
      <c r="C48" s="6">
        <v>45936</v>
      </c>
      <c r="D48" s="6">
        <v>45943</v>
      </c>
      <c r="E48" s="7" t="str">
        <f t="shared" ca="1" si="1"/>
        <v>Vencida</v>
      </c>
      <c r="F48" s="7" t="str">
        <f t="shared" si="2"/>
        <v>No</v>
      </c>
      <c r="G48" s="7" t="s">
        <v>50</v>
      </c>
      <c r="H48" s="17" t="str">
        <f ca="1">IF(G48="A","Completada",IF(Tareas[[#This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49" spans="1:8" x14ac:dyDescent="0.2">
      <c r="A49" s="9" t="s">
        <v>101</v>
      </c>
      <c r="B49" s="5" t="s">
        <v>102</v>
      </c>
      <c r="C49" s="6">
        <v>45936</v>
      </c>
      <c r="D49" s="6">
        <v>45943</v>
      </c>
      <c r="E49" s="7" t="str">
        <f t="shared" ca="1" si="1"/>
        <v>Vencida</v>
      </c>
      <c r="F49" s="7" t="str">
        <f t="shared" si="2"/>
        <v>No</v>
      </c>
      <c r="G49" s="7" t="s">
        <v>50</v>
      </c>
      <c r="H49" s="17" t="str">
        <f ca="1">IF(G49="A","Completada",IF(Tareas[[#This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0" spans="1:8" x14ac:dyDescent="0.2">
      <c r="A50" s="9" t="s">
        <v>113</v>
      </c>
      <c r="B50" s="5" t="s">
        <v>114</v>
      </c>
      <c r="C50" s="6">
        <v>45944</v>
      </c>
      <c r="D50" s="6">
        <v>45949</v>
      </c>
      <c r="E50" s="7" t="str">
        <f t="shared" ca="1" si="1"/>
        <v>Vencida</v>
      </c>
      <c r="F50" s="7" t="str">
        <f t="shared" si="2"/>
        <v>No</v>
      </c>
      <c r="G50" s="7" t="s">
        <v>50</v>
      </c>
      <c r="H50" s="17" t="str">
        <f ca="1">IF(G50="A","Completada",IF(Tareas[[#This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1" spans="1:8" x14ac:dyDescent="0.2">
      <c r="A51" s="9" t="s">
        <v>103</v>
      </c>
      <c r="B51" s="5" t="s">
        <v>104</v>
      </c>
      <c r="C51" s="6">
        <v>45950</v>
      </c>
      <c r="D51" s="6">
        <v>45956</v>
      </c>
      <c r="E51" s="7" t="str">
        <f t="shared" ca="1" si="1"/>
        <v>Vencida</v>
      </c>
      <c r="F51" s="7" t="str">
        <f t="shared" si="2"/>
        <v>No</v>
      </c>
      <c r="G51" s="7" t="s">
        <v>50</v>
      </c>
      <c r="H51" s="17" t="str">
        <f ca="1">IF(G51="A","Completada",IF(Tareas[[#This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2" spans="1:8" x14ac:dyDescent="0.2">
      <c r="A52" s="9" t="s">
        <v>105</v>
      </c>
      <c r="B52" s="5" t="s">
        <v>106</v>
      </c>
      <c r="C52" s="6">
        <v>45950</v>
      </c>
      <c r="D52" s="6">
        <v>45956</v>
      </c>
      <c r="E52" s="7" t="str">
        <f t="shared" ca="1" si="1"/>
        <v>Vencida</v>
      </c>
      <c r="F52" s="7" t="str">
        <f t="shared" si="2"/>
        <v>No</v>
      </c>
      <c r="G52" s="7" t="s">
        <v>50</v>
      </c>
      <c r="H52" s="17" t="str">
        <f ca="1">IF(G52="A","Completada",IF(Tareas[[#This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3" spans="1:8" x14ac:dyDescent="0.2">
      <c r="A53" s="9" t="s">
        <v>115</v>
      </c>
      <c r="B53" s="5" t="s">
        <v>116</v>
      </c>
      <c r="C53" s="6">
        <v>45957</v>
      </c>
      <c r="D53" s="6">
        <v>46083</v>
      </c>
      <c r="E53" s="7" t="str">
        <f t="shared" ca="1" si="1"/>
        <v>Pendiente</v>
      </c>
      <c r="F53" s="7" t="str">
        <f t="shared" si="2"/>
        <v>No</v>
      </c>
      <c r="G53" s="7" t="s">
        <v>50</v>
      </c>
      <c r="H53" s="17" t="str">
        <f ca="1">IF(G53="A","Completada",IF(Tareas[[#This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Proxima</v>
      </c>
    </row>
    <row r="54" spans="1:8" x14ac:dyDescent="0.2">
      <c r="A54" s="9" t="s">
        <v>117</v>
      </c>
      <c r="B54" s="5" t="s">
        <v>118</v>
      </c>
      <c r="C54" s="6">
        <v>45957</v>
      </c>
      <c r="D54" s="6">
        <v>45964</v>
      </c>
      <c r="E54" s="7" t="str">
        <f t="shared" ca="1" si="1"/>
        <v>Vencida</v>
      </c>
      <c r="F54" s="7" t="str">
        <f t="shared" si="2"/>
        <v>No</v>
      </c>
      <c r="G54" s="7" t="s">
        <v>50</v>
      </c>
      <c r="H54" s="17" t="str">
        <f ca="1">IF(G54="A","Completada",IF(Tareas[[#This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5" spans="1:8" x14ac:dyDescent="0.2">
      <c r="A55" s="9" t="s">
        <v>107</v>
      </c>
      <c r="B55" s="5" t="s">
        <v>108</v>
      </c>
      <c r="C55" s="6">
        <v>45965</v>
      </c>
      <c r="D55" s="6">
        <v>45971</v>
      </c>
      <c r="E55" s="7" t="str">
        <f t="shared" ca="1" si="1"/>
        <v>Vencida</v>
      </c>
      <c r="F55" s="7" t="str">
        <f t="shared" si="2"/>
        <v>No</v>
      </c>
      <c r="G55" s="7" t="s">
        <v>50</v>
      </c>
      <c r="H55" s="17" t="str">
        <f ca="1">IF(G55="A","Completada",IF(Tareas[[#This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6" spans="1:8" x14ac:dyDescent="0.2">
      <c r="A56" s="9" t="s">
        <v>109</v>
      </c>
      <c r="B56" s="5" t="s">
        <v>110</v>
      </c>
      <c r="C56" s="6">
        <v>45965</v>
      </c>
      <c r="D56" s="6">
        <v>45971</v>
      </c>
      <c r="E56" s="7" t="str">
        <f t="shared" ca="1" si="1"/>
        <v>Vencida</v>
      </c>
      <c r="F56" s="7" t="str">
        <f t="shared" si="2"/>
        <v>No</v>
      </c>
      <c r="G56" s="7" t="s">
        <v>50</v>
      </c>
      <c r="H56" s="17" t="str">
        <f ca="1">IF(G56="A","Completada",IF(Tareas[[#This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7" spans="1:8" x14ac:dyDescent="0.2">
      <c r="A57" s="9" t="s">
        <v>119</v>
      </c>
      <c r="B57" s="5" t="s">
        <v>120</v>
      </c>
      <c r="C57" s="6">
        <v>45972</v>
      </c>
      <c r="D57" s="6">
        <v>45978</v>
      </c>
      <c r="E57" s="7" t="str">
        <f t="shared" ca="1" si="1"/>
        <v>Vencida</v>
      </c>
      <c r="F57" s="7" t="str">
        <f t="shared" si="2"/>
        <v>No</v>
      </c>
      <c r="G57" s="7" t="s">
        <v>50</v>
      </c>
      <c r="H57" s="17" t="str">
        <f ca="1">IF(G57="A","Completada",IF(Tareas[[#This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8" spans="1:8" x14ac:dyDescent="0.2">
      <c r="A58" s="9" t="s">
        <v>131</v>
      </c>
      <c r="B58" s="5" t="s">
        <v>132</v>
      </c>
      <c r="C58" s="6">
        <v>45979</v>
      </c>
      <c r="D58" s="6">
        <v>45985</v>
      </c>
      <c r="E58" s="7" t="str">
        <f t="shared" ca="1" si="1"/>
        <v>Vencida</v>
      </c>
      <c r="F58" s="7" t="str">
        <f t="shared" si="2"/>
        <v>No</v>
      </c>
      <c r="G58" s="7" t="s">
        <v>50</v>
      </c>
      <c r="H58" s="17" t="str">
        <f ca="1">IF(G58="A","Completada",IF(Tareas[[#This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59" spans="1:8" x14ac:dyDescent="0.2">
      <c r="A59" s="9" t="s">
        <v>133</v>
      </c>
      <c r="B59" s="5" t="s">
        <v>134</v>
      </c>
      <c r="C59" s="6">
        <v>45979</v>
      </c>
      <c r="D59" s="6">
        <v>45985</v>
      </c>
      <c r="E59" s="7" t="str">
        <f t="shared" ca="1" si="1"/>
        <v>Vencida</v>
      </c>
      <c r="F59" s="7" t="str">
        <f t="shared" si="2"/>
        <v>No</v>
      </c>
      <c r="G59" s="7" t="s">
        <v>50</v>
      </c>
      <c r="H59" s="17" t="str">
        <f ca="1">IF(G59="A","Completada",IF(Tareas[[#This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0" spans="1:8" x14ac:dyDescent="0.2">
      <c r="A60" s="9" t="s">
        <v>121</v>
      </c>
      <c r="B60" s="5" t="s">
        <v>122</v>
      </c>
      <c r="C60" s="6">
        <v>45986</v>
      </c>
      <c r="D60" s="6">
        <v>46008</v>
      </c>
      <c r="E60" s="7" t="str">
        <f t="shared" ca="1" si="1"/>
        <v>Vencida</v>
      </c>
      <c r="F60" s="7" t="str">
        <f t="shared" si="2"/>
        <v>No</v>
      </c>
      <c r="G60" s="7" t="s">
        <v>50</v>
      </c>
      <c r="H60" s="17" t="str">
        <f ca="1">IF(G60="A","Completada",IF(Tareas[[#This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1" spans="1:8" x14ac:dyDescent="0.2">
      <c r="A61" s="9" t="s">
        <v>123</v>
      </c>
      <c r="B61" s="5" t="s">
        <v>124</v>
      </c>
      <c r="C61" s="6">
        <v>45986</v>
      </c>
      <c r="D61" s="6">
        <v>46008</v>
      </c>
      <c r="E61" s="7" t="str">
        <f t="shared" ca="1" si="1"/>
        <v>Vencida</v>
      </c>
      <c r="F61" s="7" t="str">
        <f t="shared" si="2"/>
        <v>No</v>
      </c>
      <c r="G61" s="7" t="s">
        <v>50</v>
      </c>
      <c r="H61" s="17" t="str">
        <f ca="1">IF(G61="A","Completada",IF(Tareas[[#This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2" spans="1:8" x14ac:dyDescent="0.2">
      <c r="A62" s="9" t="s">
        <v>125</v>
      </c>
      <c r="B62" s="5" t="s">
        <v>126</v>
      </c>
      <c r="C62" s="6">
        <v>45986</v>
      </c>
      <c r="D62" s="6">
        <v>46008</v>
      </c>
      <c r="E62" s="7" t="str">
        <f t="shared" ca="1" si="1"/>
        <v>Vencida</v>
      </c>
      <c r="F62" s="7" t="str">
        <f t="shared" si="2"/>
        <v>No</v>
      </c>
      <c r="G62" s="7" t="s">
        <v>50</v>
      </c>
      <c r="H62" s="17" t="str">
        <f ca="1">IF(G62="A","Completada",IF(Tareas[[#This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3" spans="1:8" x14ac:dyDescent="0.2">
      <c r="A63" s="9" t="s">
        <v>127</v>
      </c>
      <c r="B63" s="5" t="s">
        <v>128</v>
      </c>
      <c r="C63" s="6">
        <v>46062</v>
      </c>
      <c r="D63" s="6">
        <v>46075</v>
      </c>
      <c r="E63" s="7" t="str">
        <f t="shared" ca="1" si="1"/>
        <v>Vencida</v>
      </c>
      <c r="F63" s="7" t="str">
        <f t="shared" si="2"/>
        <v>No</v>
      </c>
      <c r="G63" s="7" t="s">
        <v>50</v>
      </c>
      <c r="H63" s="17" t="str">
        <f ca="1">IF(G63="A","Completada",IF(Tareas[[#This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4" spans="1:8" x14ac:dyDescent="0.2">
      <c r="A64" s="9" t="s">
        <v>129</v>
      </c>
      <c r="B64" s="5" t="s">
        <v>130</v>
      </c>
      <c r="C64" s="6">
        <v>46062</v>
      </c>
      <c r="D64" s="6">
        <v>46075</v>
      </c>
      <c r="E64" s="7" t="str">
        <f t="shared" ca="1" si="1"/>
        <v>Vencida</v>
      </c>
      <c r="F64" s="7" t="str">
        <f t="shared" si="2"/>
        <v>No</v>
      </c>
      <c r="G64" s="7" t="s">
        <v>50</v>
      </c>
      <c r="H64" s="17" t="str">
        <f ca="1">IF(G64="A","Completada",IF(Tareas[[#This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Pendiente</v>
      </c>
    </row>
    <row r="65" spans="1:8" x14ac:dyDescent="0.2">
      <c r="A65" s="9" t="s">
        <v>135</v>
      </c>
      <c r="B65" s="5" t="s">
        <v>136</v>
      </c>
      <c r="C65" s="6">
        <v>46076</v>
      </c>
      <c r="D65" s="6">
        <v>46083</v>
      </c>
      <c r="E65" s="7" t="str">
        <f t="shared" ca="1" si="1"/>
        <v>Pendiente</v>
      </c>
      <c r="F65" s="7" t="str">
        <f t="shared" si="2"/>
        <v>No</v>
      </c>
      <c r="G65" s="7" t="s">
        <v>50</v>
      </c>
      <c r="H65" s="17" t="str">
        <f ca="1">IF(G65="A","Completada",IF(Tareas[[#This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Proxima</v>
      </c>
    </row>
    <row r="66" spans="1:8" x14ac:dyDescent="0.2">
      <c r="A66" s="13" t="s">
        <v>137</v>
      </c>
      <c r="B66" s="14" t="s">
        <v>138</v>
      </c>
      <c r="C66" s="15">
        <v>46076</v>
      </c>
      <c r="D66" s="15">
        <v>46083</v>
      </c>
      <c r="E66" s="16" t="str">
        <f t="shared" ca="1" si="1"/>
        <v>Pendiente</v>
      </c>
      <c r="F66" s="16" t="str">
        <f>IF(G66="A","Si",IF(G66="-","No","En revisión"))</f>
        <v>No</v>
      </c>
      <c r="G66" s="16" t="s">
        <v>50</v>
      </c>
      <c r="H66" s="17" t="str">
        <f ca="1">IF(G66="A","Completada",IF(Tareas[[#This Row],[¿Entregada?]]="En revisión","En proceso",IF(AND(Tareas[[#This Row],[Fecha Límite]]&lt;TODAY(),Tareas[[#This Row],[¿Entregada?]]="No"),"Pendiente",IF(AND(Tareas[[#This Row],[Fecha Límite]]&gt;TODAY(),Tareas[[#This Row],[¿Entregada?]]="No"),"Proxima"," "))))</f>
        <v>Proxima</v>
      </c>
    </row>
  </sheetData>
  <sortState xmlns:xlrd2="http://schemas.microsoft.com/office/spreadsheetml/2017/richdata2" ref="A2:G67">
    <sortCondition ref="C1:C67"/>
  </sortState>
  <conditionalFormatting sqref="A1:A1048576 B68">
    <cfRule type="duplicateValues" dxfId="9" priority="2"/>
  </conditionalFormatting>
  <conditionalFormatting sqref="B1:B67 B69:B1048576">
    <cfRule type="duplicateValues" dxfId="8" priority="1"/>
  </conditionalFormatting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319E0F8-139D-4F71-A656-BAD28EC0106F}">
          <x14:formula1>
            <xm:f>'Lista Desplegable'!$A$1:$A$3</xm:f>
          </x14:formula1>
          <xm:sqref>G2:G66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4B27B-2246-450E-AE77-7530C7D7E174}">
  <dimension ref="A1:B10"/>
  <sheetViews>
    <sheetView workbookViewId="0">
      <selection activeCell="B8" sqref="B8"/>
    </sheetView>
  </sheetViews>
  <sheetFormatPr defaultRowHeight="15" x14ac:dyDescent="0.2"/>
  <cols>
    <col min="1" max="1" width="13.1796875" bestFit="1" customWidth="1"/>
    <col min="2" max="2" width="16.0078125" bestFit="1" customWidth="1"/>
    <col min="3" max="3" width="10.22265625" bestFit="1" customWidth="1"/>
    <col min="4" max="4" width="8.33984375" bestFit="1" customWidth="1"/>
    <col min="5" max="5" width="11.296875" bestFit="1" customWidth="1"/>
  </cols>
  <sheetData>
    <row r="1" spans="1:2" x14ac:dyDescent="0.2">
      <c r="A1" s="8" t="s">
        <v>9</v>
      </c>
    </row>
    <row r="2" spans="1:2" x14ac:dyDescent="0.2">
      <c r="A2" s="8" t="s">
        <v>139</v>
      </c>
    </row>
    <row r="3" spans="1:2" x14ac:dyDescent="0.2">
      <c r="A3" s="8" t="s">
        <v>50</v>
      </c>
    </row>
    <row r="6" spans="1:2" x14ac:dyDescent="0.2">
      <c r="A6" s="47" t="s">
        <v>149</v>
      </c>
      <c r="B6" t="s">
        <v>150</v>
      </c>
    </row>
    <row r="7" spans="1:2" x14ac:dyDescent="0.2">
      <c r="A7" s="50" t="s">
        <v>145</v>
      </c>
      <c r="B7" s="48">
        <v>30</v>
      </c>
    </row>
    <row r="8" spans="1:2" x14ac:dyDescent="0.2">
      <c r="A8" s="50" t="s">
        <v>146</v>
      </c>
      <c r="B8" s="48">
        <v>28</v>
      </c>
    </row>
    <row r="9" spans="1:2" x14ac:dyDescent="0.2">
      <c r="A9" s="50" t="s">
        <v>147</v>
      </c>
      <c r="B9" s="48">
        <v>7</v>
      </c>
    </row>
    <row r="10" spans="1:2" x14ac:dyDescent="0.2">
      <c r="A10" s="50" t="s">
        <v>148</v>
      </c>
      <c r="B10" s="48">
        <v>65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58D7D-48EB-4143-B3C7-5266B7D0FDC5}">
  <dimension ref="A1:U84"/>
  <sheetViews>
    <sheetView showGridLines="0" topLeftCell="H2" workbookViewId="0">
      <selection activeCell="L81" sqref="L81"/>
    </sheetView>
  </sheetViews>
  <sheetFormatPr defaultRowHeight="15" x14ac:dyDescent="0.2"/>
  <cols>
    <col min="1" max="1" width="8.47265625" customWidth="1"/>
    <col min="2" max="2" width="9.953125" customWidth="1"/>
    <col min="4" max="6" width="10.0859375" bestFit="1" customWidth="1"/>
    <col min="9" max="9" width="11.1640625" customWidth="1"/>
    <col min="12" max="12" width="10.35546875" customWidth="1"/>
    <col min="14" max="14" width="10.0859375" bestFit="1" customWidth="1"/>
    <col min="15" max="15" width="6.9921875" bestFit="1" customWidth="1"/>
    <col min="17" max="17" width="10.0859375" bestFit="1" customWidth="1"/>
    <col min="18" max="18" width="12.23828125" customWidth="1"/>
    <col min="19" max="20" width="9.14453125" style="25"/>
  </cols>
  <sheetData>
    <row r="1" spans="1:21" s="25" customFormat="1" x14ac:dyDescent="0.2"/>
    <row r="2" spans="1:21" x14ac:dyDescent="0.2">
      <c r="A2" s="25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21" ht="26.25" x14ac:dyDescent="0.35">
      <c r="A3" s="25"/>
      <c r="B3" s="23" t="s">
        <v>140</v>
      </c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21" x14ac:dyDescent="0.2">
      <c r="A4" s="25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21" x14ac:dyDescent="0.2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1:21" x14ac:dyDescent="0.2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spans="1:21" x14ac:dyDescent="0.2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1:21" x14ac:dyDescent="0.2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1:21" x14ac:dyDescent="0.2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21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21" x14ac:dyDescent="0.2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21" x14ac:dyDescent="0.2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21" s="24" customFormat="1" ht="18.75" customHeight="1" x14ac:dyDescent="0.2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8"/>
      <c r="O13" s="26"/>
      <c r="P13" s="26"/>
      <c r="Q13" s="26"/>
      <c r="R13" s="26"/>
      <c r="S13" s="26"/>
      <c r="T13" s="26"/>
    </row>
    <row r="14" spans="1:21" ht="15.75" hidden="1" customHeight="1" x14ac:dyDescent="0.2">
      <c r="A14" s="25"/>
      <c r="B14" s="21">
        <f>COUNTA(Tareas[Tarea])</f>
        <v>65</v>
      </c>
      <c r="C14" s="19"/>
      <c r="D14" s="20"/>
      <c r="E14" s="21">
        <f>COUNTIF(Tareas[¿Entregada?],"SI")</f>
        <v>30</v>
      </c>
      <c r="F14" s="19"/>
      <c r="G14" s="20"/>
      <c r="H14" s="19">
        <f>COUNTIF(Tareas[¿Entregada?],"En revisión")</f>
        <v>0</v>
      </c>
      <c r="I14" s="19"/>
      <c r="J14" s="20"/>
      <c r="K14" s="19">
        <f ca="1">COUNTIFS(Tareas[Fecha Límite],"&lt;"&amp;TODAY(),Tareas[¿Entregada?],"No")</f>
        <v>30</v>
      </c>
      <c r="L14" s="19"/>
      <c r="M14" s="20"/>
      <c r="N14" s="19">
        <f ca="1">COUNTIFS(Tareas[Fecha Límite],"&gt;"&amp;TODAY(),Tareas[¿Entregada?],"No")</f>
        <v>5</v>
      </c>
      <c r="O14" s="19"/>
      <c r="P14" s="20"/>
      <c r="Q14" s="22">
        <f>COUNTIF(Tareas[Calificación],"A")/COUNTA(Tareas[Tarea])</f>
        <v>0.46153846153846156</v>
      </c>
      <c r="R14" s="19"/>
    </row>
    <row r="15" spans="1:21" x14ac:dyDescent="0.2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U15" s="1"/>
    </row>
    <row r="16" spans="1:2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U16" s="1"/>
    </row>
    <row r="17" spans="1:21" x14ac:dyDescent="0.2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U17" s="1"/>
    </row>
    <row r="18" spans="1:21" x14ac:dyDescent="0.2">
      <c r="A18" s="25"/>
      <c r="B18" s="27"/>
      <c r="C18" s="25"/>
      <c r="D18" s="25"/>
      <c r="E18" s="25"/>
      <c r="F18" s="25"/>
      <c r="G18" s="25"/>
      <c r="H18" s="25"/>
      <c r="I18" s="49"/>
      <c r="J18" s="25"/>
      <c r="K18" s="25"/>
      <c r="L18" s="25"/>
      <c r="M18" s="25"/>
      <c r="N18" s="25"/>
      <c r="O18" s="27"/>
      <c r="P18" s="25"/>
      <c r="Q18" s="25"/>
      <c r="R18" s="25"/>
      <c r="S18" s="30"/>
    </row>
    <row r="19" spans="1:21" x14ac:dyDescent="0.2">
      <c r="A19" s="25"/>
      <c r="B19" s="31"/>
      <c r="C19" s="31"/>
      <c r="D19" s="31"/>
      <c r="E19" s="31"/>
      <c r="F19" s="31"/>
      <c r="G19" s="25"/>
      <c r="H19" s="25"/>
      <c r="I19" s="25"/>
      <c r="J19" s="25"/>
      <c r="K19" s="25"/>
      <c r="L19" s="25"/>
      <c r="M19" s="25"/>
      <c r="N19" s="25"/>
      <c r="O19" s="25"/>
      <c r="P19" s="31"/>
      <c r="Q19" s="31"/>
      <c r="R19" s="31"/>
      <c r="S19" s="31"/>
    </row>
    <row r="20" spans="1:21" x14ac:dyDescent="0.2">
      <c r="A20" s="25"/>
      <c r="B20" s="32"/>
      <c r="C20" s="32"/>
      <c r="D20" s="32"/>
      <c r="E20" s="32"/>
      <c r="F20" s="32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1:21" x14ac:dyDescent="0.2">
      <c r="A21" s="25"/>
      <c r="B21" s="32"/>
      <c r="C21" s="32"/>
      <c r="D21" s="32"/>
      <c r="E21" s="32"/>
      <c r="F21" s="32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21" x14ac:dyDescent="0.2">
      <c r="A22" s="25"/>
      <c r="B22" s="32"/>
      <c r="C22" s="32"/>
      <c r="D22" s="32"/>
      <c r="E22" s="32"/>
      <c r="F22" s="32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1:21" x14ac:dyDescent="0.2">
      <c r="A23" s="25"/>
      <c r="B23" s="32"/>
      <c r="C23" s="32"/>
      <c r="D23" s="32"/>
      <c r="E23" s="32"/>
      <c r="F23" s="32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1:21" x14ac:dyDescent="0.2">
      <c r="A24" s="25"/>
      <c r="B24" s="32"/>
      <c r="C24" s="32"/>
      <c r="D24" s="32"/>
      <c r="E24" s="32"/>
      <c r="F24" s="32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1:21" x14ac:dyDescent="0.2">
      <c r="A25" s="25"/>
      <c r="B25" s="32"/>
      <c r="C25" s="32"/>
      <c r="D25" s="32"/>
      <c r="E25" s="32"/>
      <c r="F25" s="32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1:21" x14ac:dyDescent="0.2">
      <c r="A26" s="25"/>
      <c r="B26" s="32"/>
      <c r="C26" s="32"/>
      <c r="D26" s="32"/>
      <c r="E26" s="32"/>
      <c r="F26" s="32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1:21" x14ac:dyDescent="0.2">
      <c r="A27" s="25"/>
      <c r="B27" s="32"/>
      <c r="C27" s="32"/>
      <c r="D27" s="32"/>
      <c r="E27" s="32"/>
      <c r="F27" s="32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21" x14ac:dyDescent="0.2">
      <c r="A28" s="25"/>
      <c r="B28" s="32"/>
      <c r="C28" s="32"/>
      <c r="D28" s="32"/>
      <c r="E28" s="32"/>
      <c r="F28" s="32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</row>
    <row r="29" spans="1:21" x14ac:dyDescent="0.2">
      <c r="A29" s="25"/>
      <c r="B29" s="32"/>
      <c r="C29" s="32"/>
      <c r="D29" s="32"/>
      <c r="E29" s="32"/>
      <c r="F29" s="32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21" x14ac:dyDescent="0.2">
      <c r="A30" s="25"/>
      <c r="B30" s="32"/>
      <c r="C30" s="32"/>
      <c r="D30" s="32"/>
      <c r="E30" s="32"/>
      <c r="F30" s="32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21" x14ac:dyDescent="0.2">
      <c r="A31" s="25"/>
      <c r="B31" s="32"/>
      <c r="C31" s="32"/>
      <c r="D31" s="32"/>
      <c r="E31" s="32"/>
      <c r="F31" s="32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21" x14ac:dyDescent="0.2">
      <c r="A32" s="25"/>
      <c r="B32" s="32"/>
      <c r="C32" s="32"/>
      <c r="D32" s="32"/>
      <c r="E32" s="32"/>
      <c r="F32" s="32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</row>
    <row r="33" spans="1:18" x14ac:dyDescent="0.2">
      <c r="A33" s="25"/>
      <c r="B33" s="32"/>
      <c r="C33" s="32"/>
      <c r="D33" s="32"/>
      <c r="E33" s="32"/>
      <c r="F33" s="32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1:18" x14ac:dyDescent="0.2">
      <c r="A34" s="25"/>
      <c r="B34" s="32"/>
      <c r="C34" s="32"/>
      <c r="D34" s="32"/>
      <c r="E34" s="32"/>
      <c r="F34" s="32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</row>
    <row r="35" spans="1:18" x14ac:dyDescent="0.2">
      <c r="A35" s="25"/>
      <c r="B35" s="32"/>
      <c r="C35" s="32"/>
      <c r="D35" s="32"/>
      <c r="E35" s="32"/>
      <c r="F35" s="32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</row>
    <row r="36" spans="1:18" x14ac:dyDescent="0.2">
      <c r="A36" s="25"/>
      <c r="B36" s="32"/>
      <c r="C36" s="32"/>
      <c r="D36" s="32"/>
      <c r="E36" s="32"/>
      <c r="F36" s="32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1:18" x14ac:dyDescent="0.2">
      <c r="A37" s="25"/>
      <c r="B37" s="32"/>
      <c r="C37" s="32"/>
      <c r="D37" s="32"/>
      <c r="E37" s="32"/>
      <c r="F37" s="32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</row>
    <row r="38" spans="1:18" x14ac:dyDescent="0.2">
      <c r="A38" s="25"/>
      <c r="B38" s="32"/>
      <c r="C38" s="32"/>
      <c r="D38" s="32"/>
      <c r="E38" s="32"/>
      <c r="F38" s="32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</row>
    <row r="39" spans="1:18" x14ac:dyDescent="0.2">
      <c r="A39" s="25"/>
      <c r="B39" s="32"/>
      <c r="C39" s="32"/>
      <c r="D39" s="32"/>
      <c r="E39" s="32"/>
      <c r="F39" s="32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1:18" x14ac:dyDescent="0.2">
      <c r="A40" s="25"/>
      <c r="B40" s="32"/>
      <c r="C40" s="32"/>
      <c r="D40" s="32"/>
      <c r="E40" s="32"/>
      <c r="F40" s="32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</row>
    <row r="41" spans="1:18" x14ac:dyDescent="0.2">
      <c r="A41" s="25"/>
      <c r="B41" s="32"/>
      <c r="C41" s="32"/>
      <c r="D41" s="32"/>
      <c r="E41" s="32"/>
      <c r="F41" s="32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1:18" x14ac:dyDescent="0.2">
      <c r="A42" s="25"/>
      <c r="B42" s="32"/>
      <c r="C42" s="32"/>
      <c r="D42" s="32"/>
      <c r="E42" s="32"/>
      <c r="F42" s="32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1:18" x14ac:dyDescent="0.2">
      <c r="A43" s="25"/>
      <c r="B43" s="32"/>
      <c r="C43" s="32"/>
      <c r="D43" s="32"/>
      <c r="E43" s="32"/>
      <c r="F43" s="32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</row>
    <row r="44" spans="1:18" x14ac:dyDescent="0.2">
      <c r="A44" s="25"/>
      <c r="B44" s="32"/>
      <c r="C44" s="32"/>
      <c r="D44" s="32"/>
      <c r="E44" s="32"/>
      <c r="F44" s="32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spans="1:18" x14ac:dyDescent="0.2">
      <c r="B45" s="29"/>
      <c r="C45" s="29"/>
      <c r="D45" s="29"/>
      <c r="E45" s="29"/>
      <c r="F45" s="29"/>
    </row>
    <row r="46" spans="1:18" x14ac:dyDescent="0.2">
      <c r="B46" s="29"/>
      <c r="C46" s="29"/>
      <c r="D46" s="29"/>
      <c r="E46" s="29"/>
      <c r="F46" s="29"/>
    </row>
    <row r="47" spans="1:18" x14ac:dyDescent="0.2">
      <c r="B47" s="29"/>
      <c r="C47" s="29"/>
      <c r="D47" s="29"/>
      <c r="E47" s="29"/>
      <c r="F47" s="29"/>
    </row>
    <row r="48" spans="1:18" x14ac:dyDescent="0.2">
      <c r="B48" s="29"/>
      <c r="C48" s="29"/>
      <c r="D48" s="29"/>
      <c r="E48" s="29"/>
      <c r="F48" s="29"/>
    </row>
    <row r="49" spans="2:6" x14ac:dyDescent="0.2">
      <c r="B49" s="29"/>
      <c r="C49" s="29"/>
      <c r="D49" s="29"/>
      <c r="E49" s="29"/>
      <c r="F49" s="29"/>
    </row>
    <row r="50" spans="2:6" x14ac:dyDescent="0.2">
      <c r="B50" s="29"/>
      <c r="C50" s="29"/>
      <c r="D50" s="29"/>
      <c r="E50" s="29"/>
      <c r="F50" s="29"/>
    </row>
    <row r="51" spans="2:6" x14ac:dyDescent="0.2">
      <c r="B51" s="29"/>
      <c r="C51" s="29"/>
      <c r="D51" s="29"/>
      <c r="E51" s="29"/>
      <c r="F51" s="29"/>
    </row>
    <row r="52" spans="2:6" x14ac:dyDescent="0.2">
      <c r="B52" s="29"/>
      <c r="C52" s="29"/>
      <c r="D52" s="29"/>
      <c r="E52" s="29"/>
      <c r="F52" s="29"/>
    </row>
    <row r="53" spans="2:6" x14ac:dyDescent="0.2">
      <c r="B53" s="29"/>
      <c r="C53" s="29"/>
      <c r="D53" s="29"/>
      <c r="E53" s="29"/>
      <c r="F53" s="29"/>
    </row>
    <row r="54" spans="2:6" x14ac:dyDescent="0.2">
      <c r="B54" s="29"/>
      <c r="C54" s="29"/>
      <c r="D54" s="29"/>
      <c r="E54" s="29"/>
      <c r="F54" s="29"/>
    </row>
    <row r="55" spans="2:6" x14ac:dyDescent="0.2">
      <c r="B55" s="29"/>
      <c r="C55" s="29"/>
      <c r="D55" s="29"/>
      <c r="E55" s="29"/>
      <c r="F55" s="29"/>
    </row>
    <row r="56" spans="2:6" x14ac:dyDescent="0.2">
      <c r="B56" s="29"/>
      <c r="C56" s="29"/>
      <c r="D56" s="29"/>
      <c r="E56" s="29"/>
      <c r="F56" s="29"/>
    </row>
    <row r="57" spans="2:6" x14ac:dyDescent="0.2">
      <c r="B57" s="29"/>
      <c r="C57" s="29"/>
      <c r="D57" s="29"/>
      <c r="E57" s="29"/>
      <c r="F57" s="29"/>
    </row>
    <row r="58" spans="2:6" x14ac:dyDescent="0.2">
      <c r="B58" s="29"/>
      <c r="C58" s="29"/>
      <c r="D58" s="29"/>
      <c r="E58" s="29"/>
      <c r="F58" s="29"/>
    </row>
    <row r="59" spans="2:6" x14ac:dyDescent="0.2">
      <c r="B59" s="29"/>
      <c r="C59" s="29"/>
      <c r="D59" s="29"/>
      <c r="E59" s="29"/>
      <c r="F59" s="29"/>
    </row>
    <row r="60" spans="2:6" x14ac:dyDescent="0.2">
      <c r="B60" s="29"/>
      <c r="C60" s="29"/>
      <c r="D60" s="29"/>
      <c r="E60" s="29"/>
      <c r="F60" s="29"/>
    </row>
    <row r="61" spans="2:6" x14ac:dyDescent="0.2">
      <c r="B61" s="29"/>
      <c r="C61" s="29"/>
      <c r="D61" s="29"/>
      <c r="E61" s="29"/>
      <c r="F61" s="29"/>
    </row>
    <row r="62" spans="2:6" x14ac:dyDescent="0.2">
      <c r="B62" s="29"/>
      <c r="C62" s="29"/>
      <c r="D62" s="29"/>
      <c r="E62" s="29"/>
      <c r="F62" s="29"/>
    </row>
    <row r="63" spans="2:6" x14ac:dyDescent="0.2">
      <c r="B63" s="29"/>
      <c r="C63" s="29"/>
      <c r="D63" s="29"/>
      <c r="E63" s="29"/>
      <c r="F63" s="29"/>
    </row>
    <row r="64" spans="2:6" x14ac:dyDescent="0.2">
      <c r="B64" s="29"/>
      <c r="C64" s="29"/>
      <c r="D64" s="29"/>
      <c r="E64" s="29"/>
      <c r="F64" s="29"/>
    </row>
    <row r="65" spans="2:6" x14ac:dyDescent="0.2">
      <c r="B65" s="29"/>
      <c r="C65" s="29"/>
      <c r="D65" s="29"/>
      <c r="E65" s="29"/>
      <c r="F65" s="29"/>
    </row>
    <row r="66" spans="2:6" x14ac:dyDescent="0.2">
      <c r="B66" s="29"/>
      <c r="C66" s="29"/>
      <c r="D66" s="29"/>
      <c r="E66" s="29"/>
      <c r="F66" s="29"/>
    </row>
    <row r="67" spans="2:6" x14ac:dyDescent="0.2">
      <c r="B67" s="29"/>
      <c r="C67" s="29"/>
      <c r="D67" s="29"/>
      <c r="E67" s="29"/>
      <c r="F67" s="29"/>
    </row>
    <row r="68" spans="2:6" x14ac:dyDescent="0.2">
      <c r="B68" s="29"/>
      <c r="C68" s="29"/>
      <c r="D68" s="29"/>
      <c r="E68" s="29"/>
      <c r="F68" s="29"/>
    </row>
    <row r="69" spans="2:6" x14ac:dyDescent="0.2">
      <c r="B69" s="29"/>
      <c r="C69" s="29"/>
      <c r="D69" s="29"/>
      <c r="E69" s="29"/>
      <c r="F69" s="29"/>
    </row>
    <row r="70" spans="2:6" x14ac:dyDescent="0.2">
      <c r="B70" s="29"/>
      <c r="C70" s="29"/>
      <c r="D70" s="29"/>
      <c r="E70" s="29"/>
      <c r="F70" s="29"/>
    </row>
    <row r="71" spans="2:6" x14ac:dyDescent="0.2">
      <c r="B71" s="29"/>
      <c r="C71" s="29"/>
      <c r="D71" s="29"/>
      <c r="E71" s="29"/>
      <c r="F71" s="29"/>
    </row>
    <row r="72" spans="2:6" x14ac:dyDescent="0.2">
      <c r="B72" s="29"/>
      <c r="C72" s="29"/>
      <c r="D72" s="29"/>
      <c r="E72" s="29"/>
      <c r="F72" s="29"/>
    </row>
    <row r="73" spans="2:6" x14ac:dyDescent="0.2">
      <c r="B73" s="29"/>
      <c r="C73" s="29"/>
      <c r="D73" s="29"/>
      <c r="E73" s="29"/>
      <c r="F73" s="29"/>
    </row>
    <row r="74" spans="2:6" x14ac:dyDescent="0.2">
      <c r="B74" s="29"/>
      <c r="C74" s="29"/>
      <c r="D74" s="29"/>
      <c r="E74" s="29"/>
      <c r="F74" s="29"/>
    </row>
    <row r="75" spans="2:6" x14ac:dyDescent="0.2">
      <c r="B75" s="29"/>
      <c r="C75" s="29"/>
      <c r="D75" s="29"/>
      <c r="E75" s="29"/>
      <c r="F75" s="29"/>
    </row>
    <row r="76" spans="2:6" x14ac:dyDescent="0.2">
      <c r="B76" s="29"/>
      <c r="C76" s="29"/>
      <c r="D76" s="29"/>
      <c r="E76" s="29"/>
      <c r="F76" s="29"/>
    </row>
    <row r="77" spans="2:6" x14ac:dyDescent="0.2">
      <c r="B77" s="29"/>
      <c r="C77" s="29"/>
      <c r="D77" s="29"/>
      <c r="E77" s="29"/>
      <c r="F77" s="29"/>
    </row>
    <row r="78" spans="2:6" x14ac:dyDescent="0.2">
      <c r="B78" s="29"/>
      <c r="C78" s="29"/>
      <c r="D78" s="29"/>
      <c r="E78" s="29"/>
      <c r="F78" s="29"/>
    </row>
    <row r="79" spans="2:6" x14ac:dyDescent="0.2">
      <c r="B79" s="29"/>
      <c r="C79" s="29"/>
      <c r="D79" s="29"/>
      <c r="E79" s="29"/>
      <c r="F79" s="29"/>
    </row>
    <row r="80" spans="2:6" x14ac:dyDescent="0.2">
      <c r="B80" s="29"/>
      <c r="C80" s="29"/>
      <c r="D80" s="29"/>
      <c r="E80" s="29"/>
      <c r="F80" s="29"/>
    </row>
    <row r="81" spans="2:6" x14ac:dyDescent="0.2">
      <c r="B81" s="29"/>
      <c r="C81" s="29"/>
      <c r="D81" s="29"/>
      <c r="E81" s="29"/>
      <c r="F81" s="29"/>
    </row>
    <row r="82" spans="2:6" x14ac:dyDescent="0.2">
      <c r="B82" s="29"/>
      <c r="C82" s="29"/>
      <c r="D82" s="29"/>
      <c r="E82" s="29"/>
      <c r="F82" s="29"/>
    </row>
    <row r="83" spans="2:6" x14ac:dyDescent="0.2">
      <c r="B83" s="29"/>
      <c r="C83" s="29"/>
      <c r="D83" s="29"/>
      <c r="E83" s="29"/>
      <c r="F83" s="29"/>
    </row>
    <row r="84" spans="2:6" x14ac:dyDescent="0.2">
      <c r="B84" s="29"/>
      <c r="C84" s="29"/>
      <c r="D84" s="29"/>
      <c r="E84" s="29"/>
      <c r="F84" s="29"/>
    </row>
  </sheetData>
  <conditionalFormatting sqref="B14">
    <cfRule type="duplicateValues" dxfId="7" priority="3"/>
  </conditionalFormatting>
  <conditionalFormatting sqref="E14">
    <cfRule type="duplicateValues" dxfId="6" priority="4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3A61-9363-461D-AAD2-4DCB36B13589}">
  <dimension ref="A1:H31"/>
  <sheetViews>
    <sheetView showGridLines="0" tabSelected="1" topLeftCell="F1" workbookViewId="0">
      <selection activeCell="H2" sqref="H2"/>
    </sheetView>
  </sheetViews>
  <sheetFormatPr defaultRowHeight="15" x14ac:dyDescent="0.2"/>
  <cols>
    <col min="1" max="1" width="55.15234375" bestFit="1" customWidth="1"/>
    <col min="2" max="2" width="23.9453125" bestFit="1" customWidth="1"/>
    <col min="3" max="3" width="19.90625" style="3" bestFit="1" customWidth="1"/>
    <col min="4" max="4" width="14.125" style="3" bestFit="1" customWidth="1"/>
    <col min="5" max="5" width="8.203125" bestFit="1" customWidth="1"/>
    <col min="6" max="6" width="14.390625" bestFit="1" customWidth="1"/>
    <col min="8" max="8" width="20.3125" bestFit="1" customWidth="1"/>
  </cols>
  <sheetData>
    <row r="1" spans="1:8" x14ac:dyDescent="0.2">
      <c r="A1" s="33" t="s">
        <v>0</v>
      </c>
      <c r="B1" s="33" t="s">
        <v>1</v>
      </c>
      <c r="C1" s="34" t="s">
        <v>2</v>
      </c>
      <c r="D1" s="34" t="s">
        <v>3</v>
      </c>
      <c r="E1" s="34" t="s">
        <v>141</v>
      </c>
      <c r="F1" s="34" t="s">
        <v>142</v>
      </c>
      <c r="H1" s="46" t="s">
        <v>144</v>
      </c>
    </row>
    <row r="2" spans="1:8" x14ac:dyDescent="0.2">
      <c r="A2" s="36" t="str" cm="1">
        <f t="array" aca="1" ref="A2:E31" ca="1">_xlfn._xlws.FILTER(Tareas[[Tarea]:[¿Vencida?]],Tareas[Estado]="Pendiente"," ")</f>
        <v>Video entrevista virtual (Inglés)</v>
      </c>
      <c r="B2" s="37" t="str">
        <f ca="1"/>
        <v>GA2-240202501-AA1-EV02</v>
      </c>
      <c r="C2" s="38">
        <f ca="1"/>
        <v>45832</v>
      </c>
      <c r="D2" s="38">
        <f ca="1"/>
        <v>45838</v>
      </c>
      <c r="E2" s="37" t="str">
        <f ca="1"/>
        <v>Vencida</v>
      </c>
      <c r="F2" s="39">
        <f ca="1">TODAY()-D2</f>
        <v>239</v>
      </c>
      <c r="H2" s="51">
        <f ca="1">COUNTA(A2:A29)</f>
        <v>28</v>
      </c>
    </row>
    <row r="3" spans="1:8" x14ac:dyDescent="0.2">
      <c r="A3" s="37" t="str">
        <f ca="1"/>
        <v>Video sustentación (matemáticas)</v>
      </c>
      <c r="B3" s="37" t="str">
        <f ca="1"/>
        <v>GA2-240201528-AA3-EV01</v>
      </c>
      <c r="C3" s="38">
        <f ca="1"/>
        <v>45860</v>
      </c>
      <c r="D3" s="38">
        <f ca="1"/>
        <v>45866</v>
      </c>
      <c r="E3" s="37" t="str">
        <f ca="1"/>
        <v>Vencida</v>
      </c>
      <c r="F3" s="39">
        <f t="shared" ref="F3:F29" ca="1" si="0">TODAY()-D3</f>
        <v>211</v>
      </c>
    </row>
    <row r="4" spans="1:8" x14ac:dyDescent="0.2">
      <c r="A4" s="37" t="str">
        <f ca="1"/>
        <v>Presentación (Inglés GA2-AA2)</v>
      </c>
      <c r="B4" s="37" t="str">
        <f ca="1"/>
        <v>GA2-240202501-AA2-EV02</v>
      </c>
      <c r="C4" s="38">
        <f ca="1"/>
        <v>45867</v>
      </c>
      <c r="D4" s="38">
        <f ca="1"/>
        <v>45873</v>
      </c>
      <c r="E4" s="37" t="str">
        <f ca="1"/>
        <v>Vencida</v>
      </c>
      <c r="F4" s="39">
        <f t="shared" ca="1" si="0"/>
        <v>204</v>
      </c>
    </row>
    <row r="5" spans="1:8" x14ac:dyDescent="0.2">
      <c r="A5" s="37" t="str">
        <f ca="1"/>
        <v>Video expositivo experimento GA3-AA2</v>
      </c>
      <c r="B5" s="37" t="str">
        <f ca="1"/>
        <v>GA3-220201501-AA2-EV01</v>
      </c>
      <c r="C5" s="38">
        <f ca="1"/>
        <v>45881</v>
      </c>
      <c r="D5" s="38">
        <f ca="1"/>
        <v>45887</v>
      </c>
      <c r="E5" s="37" t="str">
        <f ca="1"/>
        <v>Vencida</v>
      </c>
      <c r="F5" s="39">
        <f t="shared" ca="1" si="0"/>
        <v>190</v>
      </c>
    </row>
    <row r="6" spans="1:8" x14ac:dyDescent="0.2">
      <c r="A6" s="37" t="str">
        <f ca="1"/>
        <v>Audio (Inglés GA3-AA1)</v>
      </c>
      <c r="B6" s="37" t="str">
        <f ca="1"/>
        <v>GA3-240202501-AA1-EV02</v>
      </c>
      <c r="C6" s="38">
        <f ca="1"/>
        <v>45888</v>
      </c>
      <c r="D6" s="38">
        <f ca="1"/>
        <v>45893</v>
      </c>
      <c r="E6" s="37" t="str">
        <f ca="1"/>
        <v>Vencida</v>
      </c>
      <c r="F6" s="39">
        <f t="shared" ca="1" si="0"/>
        <v>184</v>
      </c>
    </row>
    <row r="7" spans="1:8" x14ac:dyDescent="0.2">
      <c r="A7" s="37" t="str">
        <f ca="1"/>
        <v>Informe de laboratorio</v>
      </c>
      <c r="B7" s="37" t="str">
        <f ca="1"/>
        <v>GA3-220201501-AA3-EV01</v>
      </c>
      <c r="C7" s="38">
        <f ca="1"/>
        <v>45901</v>
      </c>
      <c r="D7" s="38">
        <f ca="1"/>
        <v>45907</v>
      </c>
      <c r="E7" s="37" t="str">
        <f ca="1"/>
        <v>Vencida</v>
      </c>
      <c r="F7" s="39">
        <f t="shared" ca="1" si="0"/>
        <v>170</v>
      </c>
    </row>
    <row r="8" spans="1:8" x14ac:dyDescent="0.2">
      <c r="A8" s="37" t="str">
        <f ca="1"/>
        <v>Video expositivo experimento GA3-AA4</v>
      </c>
      <c r="B8" s="37" t="str">
        <f ca="1"/>
        <v>GA3-220201501-AA4-EV01</v>
      </c>
      <c r="C8" s="38">
        <f ca="1"/>
        <v>45901</v>
      </c>
      <c r="D8" s="38">
        <f ca="1"/>
        <v>45907</v>
      </c>
      <c r="E8" s="37" t="str">
        <f ca="1"/>
        <v>Vencida</v>
      </c>
      <c r="F8" s="39">
        <f t="shared" ca="1" si="0"/>
        <v>170</v>
      </c>
    </row>
    <row r="9" spans="1:8" x14ac:dyDescent="0.2">
      <c r="A9" s="37" t="str">
        <f ca="1"/>
        <v>Bitácora de procesos</v>
      </c>
      <c r="B9" s="37" t="str">
        <f ca="1"/>
        <v>GA3-220201501-AA4-EV02</v>
      </c>
      <c r="C9" s="38">
        <f ca="1"/>
        <v>45901</v>
      </c>
      <c r="D9" s="38">
        <f ca="1"/>
        <v>45907</v>
      </c>
      <c r="E9" s="37" t="str">
        <f ca="1"/>
        <v>Vencida</v>
      </c>
      <c r="F9" s="39">
        <f t="shared" ca="1" si="0"/>
        <v>170</v>
      </c>
    </row>
    <row r="10" spans="1:8" x14ac:dyDescent="0.2">
      <c r="A10" s="37" t="str">
        <f ca="1"/>
        <v>Audio (Inglés GA3-AA2)</v>
      </c>
      <c r="B10" s="37" t="str">
        <f ca="1"/>
        <v>GA3-240202501-AA2-EV02</v>
      </c>
      <c r="C10" s="38">
        <f ca="1"/>
        <v>45908</v>
      </c>
      <c r="D10" s="38">
        <f ca="1"/>
        <v>45914</v>
      </c>
      <c r="E10" s="37" t="str">
        <f ca="1"/>
        <v>Vencida</v>
      </c>
      <c r="F10" s="39">
        <f t="shared" ca="1" si="0"/>
        <v>163</v>
      </c>
      <c r="G10" s="35"/>
    </row>
    <row r="11" spans="1:8" x14ac:dyDescent="0.2">
      <c r="A11" s="37" t="str">
        <f ca="1"/>
        <v>Bases teóricas estructuras de almacenamiento</v>
      </c>
      <c r="B11" s="37" t="str">
        <f ca="1"/>
        <v>GA3-220501093-AA3-EV01</v>
      </c>
      <c r="C11" s="38">
        <f ca="1"/>
        <v>45915</v>
      </c>
      <c r="D11" s="38">
        <f ca="1"/>
        <v>45921</v>
      </c>
      <c r="E11" s="37" t="str">
        <f ca="1"/>
        <v>Vencida</v>
      </c>
      <c r="F11" s="39">
        <f t="shared" ca="1" si="0"/>
        <v>156</v>
      </c>
    </row>
    <row r="12" spans="1:8" x14ac:dyDescent="0.2">
      <c r="A12" s="37" t="str">
        <f ca="1"/>
        <v>Resolución problemas con estructuras de almacenamiento</v>
      </c>
      <c r="B12" s="37" t="str">
        <f ca="1"/>
        <v>GA3-220501093-AA3-EV02</v>
      </c>
      <c r="C12" s="38">
        <f ca="1"/>
        <v>45915</v>
      </c>
      <c r="D12" s="38">
        <f ca="1"/>
        <v>45921</v>
      </c>
      <c r="E12" s="37" t="str">
        <f ca="1"/>
        <v>Vencida</v>
      </c>
      <c r="F12" s="39">
        <f t="shared" ca="1" si="0"/>
        <v>156</v>
      </c>
    </row>
    <row r="13" spans="1:8" x14ac:dyDescent="0.2">
      <c r="A13" s="37" t="str">
        <f ca="1"/>
        <v>Diseñar modelo conceptual y lógico (caso de estudio)</v>
      </c>
      <c r="B13" s="37" t="str">
        <f ca="1"/>
        <v>GA4-220501095-AA1-EV01</v>
      </c>
      <c r="C13" s="38">
        <f ca="1"/>
        <v>45922</v>
      </c>
      <c r="D13" s="38">
        <f ca="1"/>
        <v>45928</v>
      </c>
      <c r="E13" s="37" t="str">
        <f ca="1"/>
        <v>Vencida</v>
      </c>
      <c r="F13" s="39">
        <f t="shared" ca="1" si="0"/>
        <v>149</v>
      </c>
    </row>
    <row r="14" spans="1:8" x14ac:dyDescent="0.2">
      <c r="A14" s="37" t="str">
        <f ca="1"/>
        <v>Modelo conceptual y lógico del proyecto</v>
      </c>
      <c r="B14" s="37" t="str">
        <f ca="1"/>
        <v>GA4-220501095-AA1-EV02</v>
      </c>
      <c r="C14" s="38">
        <f ca="1"/>
        <v>45922</v>
      </c>
      <c r="D14" s="38">
        <f ca="1"/>
        <v>45928</v>
      </c>
      <c r="E14" s="37" t="str">
        <f ca="1"/>
        <v>Vencida</v>
      </c>
      <c r="F14" s="39">
        <f t="shared" ca="1" si="0"/>
        <v>149</v>
      </c>
    </row>
    <row r="15" spans="1:8" x14ac:dyDescent="0.2">
      <c r="A15" s="37" t="str">
        <f ca="1"/>
        <v>Video - La comunicación como expresión humana</v>
      </c>
      <c r="B15" s="37" t="str">
        <f ca="1"/>
        <v>GA4-240201524-AA1-EV01</v>
      </c>
      <c r="C15" s="38">
        <f ca="1"/>
        <v>45929</v>
      </c>
      <c r="D15" s="38">
        <f ca="1"/>
        <v>45935</v>
      </c>
      <c r="E15" s="37" t="str">
        <f ca="1"/>
        <v>Vencida</v>
      </c>
      <c r="F15" s="39">
        <f t="shared" ca="1" si="0"/>
        <v>142</v>
      </c>
    </row>
    <row r="16" spans="1:8" x14ac:dyDescent="0.2">
      <c r="A16" s="37" t="str">
        <f ca="1"/>
        <v>Taller programación orientada a objetos</v>
      </c>
      <c r="B16" s="37" t="str">
        <f ca="1"/>
        <v>GA4-220501095-AA2-EV01</v>
      </c>
      <c r="C16" s="38">
        <f ca="1"/>
        <v>45936</v>
      </c>
      <c r="D16" s="38">
        <f ca="1"/>
        <v>45943</v>
      </c>
      <c r="E16" s="37" t="str">
        <f ca="1"/>
        <v>Vencida</v>
      </c>
      <c r="F16" s="39">
        <f t="shared" ca="1" si="0"/>
        <v>134</v>
      </c>
    </row>
    <row r="17" spans="1:6" x14ac:dyDescent="0.2">
      <c r="A17" s="37" t="str">
        <f ca="1"/>
        <v>Bases UML y patrones de diseño</v>
      </c>
      <c r="B17" s="37" t="str">
        <f ca="1"/>
        <v>GA4-220501095-AA2-EV03</v>
      </c>
      <c r="C17" s="38">
        <f ca="1"/>
        <v>45936</v>
      </c>
      <c r="D17" s="38">
        <f ca="1"/>
        <v>45943</v>
      </c>
      <c r="E17" s="37" t="str">
        <f ca="1"/>
        <v>Vencida</v>
      </c>
      <c r="F17" s="39">
        <f t="shared" ca="1" si="0"/>
        <v>134</v>
      </c>
    </row>
    <row r="18" spans="1:6" x14ac:dyDescent="0.2">
      <c r="A18" s="37" t="str">
        <f ca="1"/>
        <v>Informe - Creación de contenidos comunicativos</v>
      </c>
      <c r="B18" s="37" t="str">
        <f ca="1"/>
        <v>GA4-240201524-AA2-EV01</v>
      </c>
      <c r="C18" s="38">
        <f ca="1"/>
        <v>45944</v>
      </c>
      <c r="D18" s="38">
        <f ca="1"/>
        <v>45949</v>
      </c>
      <c r="E18" s="37" t="str">
        <f ca="1"/>
        <v>Vencida</v>
      </c>
      <c r="F18" s="39">
        <f t="shared" ca="1" si="0"/>
        <v>128</v>
      </c>
    </row>
    <row r="19" spans="1:6" x14ac:dyDescent="0.2">
      <c r="A19" s="37" t="str">
        <f ca="1"/>
        <v>Diagrama de clases del proyecto</v>
      </c>
      <c r="B19" s="37" t="str">
        <f ca="1"/>
        <v>GA4-220501095-AA2-EV04</v>
      </c>
      <c r="C19" s="38">
        <f ca="1"/>
        <v>45950</v>
      </c>
      <c r="D19" s="38">
        <f ca="1"/>
        <v>45956</v>
      </c>
      <c r="E19" s="37" t="str">
        <f ca="1"/>
        <v>Vencida</v>
      </c>
      <c r="F19" s="39">
        <f t="shared" ca="1" si="0"/>
        <v>121</v>
      </c>
    </row>
    <row r="20" spans="1:6" x14ac:dyDescent="0.2">
      <c r="A20" s="37" t="str">
        <f ca="1"/>
        <v>Arquitectura de software según patrón de diseño</v>
      </c>
      <c r="B20" s="37" t="str">
        <f ca="1"/>
        <v>GA4-220501095-AA2-EV05</v>
      </c>
      <c r="C20" s="38">
        <f ca="1"/>
        <v>45950</v>
      </c>
      <c r="D20" s="38">
        <f ca="1"/>
        <v>45956</v>
      </c>
      <c r="E20" s="37" t="str">
        <f ca="1"/>
        <v>Vencida</v>
      </c>
      <c r="F20" s="39">
        <f t="shared" ca="1" si="0"/>
        <v>121</v>
      </c>
    </row>
    <row r="21" spans="1:6" x14ac:dyDescent="0.2">
      <c r="A21" s="37" t="str">
        <f ca="1"/>
        <v>Mapa mental PLE</v>
      </c>
      <c r="B21" s="37" t="str">
        <f ca="1"/>
        <v>GA4-240202501-AA1-EV02</v>
      </c>
      <c r="C21" s="38">
        <f ca="1"/>
        <v>45957</v>
      </c>
      <c r="D21" s="38">
        <f ca="1"/>
        <v>45964</v>
      </c>
      <c r="E21" s="37" t="str">
        <f ca="1"/>
        <v>Vencida</v>
      </c>
      <c r="F21" s="39">
        <f t="shared" ca="1" si="0"/>
        <v>113</v>
      </c>
    </row>
    <row r="22" spans="1:6" x14ac:dyDescent="0.2">
      <c r="A22" s="37" t="str">
        <f ca="1"/>
        <v>Diagrama de despliegue para proyecto de software</v>
      </c>
      <c r="B22" s="37" t="str">
        <f ca="1"/>
        <v>GA4-220501095-AA3-EV03</v>
      </c>
      <c r="C22" s="38">
        <f ca="1"/>
        <v>45965</v>
      </c>
      <c r="D22" s="38">
        <f ca="1"/>
        <v>45971</v>
      </c>
      <c r="E22" s="37" t="str">
        <f ca="1"/>
        <v>Vencida</v>
      </c>
      <c r="F22" s="39">
        <f t="shared" ca="1" si="0"/>
        <v>106</v>
      </c>
    </row>
    <row r="23" spans="1:6" x14ac:dyDescent="0.2">
      <c r="A23" s="37" t="str">
        <f ca="1"/>
        <v>Taller sobre validación de documentos</v>
      </c>
      <c r="B23" s="37" t="str">
        <f ca="1"/>
        <v>GA4-220501095-AA4-EV01</v>
      </c>
      <c r="C23" s="38">
        <f ca="1"/>
        <v>45965</v>
      </c>
      <c r="D23" s="38">
        <f ca="1"/>
        <v>45971</v>
      </c>
      <c r="E23" s="37" t="str">
        <f ca="1"/>
        <v>Vencida</v>
      </c>
      <c r="F23" s="39">
        <f t="shared" ca="1" si="0"/>
        <v>106</v>
      </c>
    </row>
    <row r="24" spans="1:6" x14ac:dyDescent="0.2">
      <c r="A24" s="37" t="str">
        <f ca="1"/>
        <v>Taller construcción del prototipo del software</v>
      </c>
      <c r="B24" s="37" t="str">
        <f ca="1"/>
        <v>GA5-220501095-AA1-EV01</v>
      </c>
      <c r="C24" s="38">
        <f ca="1"/>
        <v>45972</v>
      </c>
      <c r="D24" s="38">
        <f ca="1"/>
        <v>45978</v>
      </c>
      <c r="E24" s="37" t="str">
        <f ca="1"/>
        <v>Vencida</v>
      </c>
      <c r="F24" s="39">
        <f t="shared" ca="1" si="0"/>
        <v>99</v>
      </c>
    </row>
    <row r="25" spans="1:6" x14ac:dyDescent="0.2">
      <c r="A25" s="37" t="str">
        <f ca="1"/>
        <v>Mapa mental características socioeconómicas y tecnológicas</v>
      </c>
      <c r="B25" s="37" t="str">
        <f ca="1"/>
        <v>GA5-240201064-AA1-EV01</v>
      </c>
      <c r="C25" s="38">
        <f ca="1"/>
        <v>45979</v>
      </c>
      <c r="D25" s="38">
        <f ca="1"/>
        <v>45985</v>
      </c>
      <c r="E25" s="37" t="str">
        <f ca="1"/>
        <v>Vencida</v>
      </c>
      <c r="F25" s="39">
        <f t="shared" ca="1" si="0"/>
        <v>92</v>
      </c>
    </row>
    <row r="26" spans="1:6" x14ac:dyDescent="0.2">
      <c r="A26" s="37" t="str">
        <f ca="1"/>
        <v>Propuesta de investigación formativa</v>
      </c>
      <c r="B26" s="37" t="str">
        <f ca="1"/>
        <v>GA5-240201064-AA2-EV01</v>
      </c>
      <c r="C26" s="38">
        <f ca="1"/>
        <v>45979</v>
      </c>
      <c r="D26" s="38">
        <f ca="1"/>
        <v>45985</v>
      </c>
      <c r="E26" s="37" t="str">
        <f ca="1"/>
        <v>Vencida</v>
      </c>
      <c r="F26" s="39">
        <f t="shared" ca="1" si="0"/>
        <v>92</v>
      </c>
    </row>
    <row r="27" spans="1:6" x14ac:dyDescent="0.2">
      <c r="A27" s="37" t="str">
        <f ca="1"/>
        <v>Maquetación interfaz gráfica en HTML</v>
      </c>
      <c r="B27" s="37" t="str">
        <f ca="1"/>
        <v>GA5-220501095-AA1-EV04</v>
      </c>
      <c r="C27" s="38">
        <f ca="1"/>
        <v>45986</v>
      </c>
      <c r="D27" s="38">
        <f ca="1"/>
        <v>46008</v>
      </c>
      <c r="E27" s="37" t="str">
        <f ca="1"/>
        <v>Vencida</v>
      </c>
      <c r="F27" s="39">
        <f t="shared" ca="1" si="0"/>
        <v>69</v>
      </c>
    </row>
    <row r="28" spans="1:6" x14ac:dyDescent="0.2">
      <c r="A28" s="37" t="str">
        <f ca="1"/>
        <v>Mapa de navegación</v>
      </c>
      <c r="B28" s="37" t="str">
        <f ca="1"/>
        <v>GA5-220501095-AA1-EV05</v>
      </c>
      <c r="C28" s="38">
        <f ca="1"/>
        <v>45986</v>
      </c>
      <c r="D28" s="38">
        <f ca="1"/>
        <v>46008</v>
      </c>
      <c r="E28" s="37" t="str">
        <f ca="1"/>
        <v>Vencida</v>
      </c>
      <c r="F28" s="39">
        <f t="shared" ca="1" si="0"/>
        <v>69</v>
      </c>
    </row>
    <row r="29" spans="1:6" x14ac:dyDescent="0.2">
      <c r="A29" s="37" t="str">
        <f ca="1"/>
        <v>Nociones usabilidad y accesibilidad app móvil</v>
      </c>
      <c r="B29" s="37" t="str">
        <f ca="1"/>
        <v>GA5-220501095-AA1-EV06</v>
      </c>
      <c r="C29" s="38">
        <f ca="1"/>
        <v>45986</v>
      </c>
      <c r="D29" s="38">
        <f ca="1"/>
        <v>46008</v>
      </c>
      <c r="E29" s="37" t="str">
        <f ca="1"/>
        <v>Vencida</v>
      </c>
      <c r="F29" s="39">
        <f t="shared" ca="1" si="0"/>
        <v>69</v>
      </c>
    </row>
    <row r="30" spans="1:6" x14ac:dyDescent="0.2">
      <c r="A30" t="str">
        <f ca="1"/>
        <v>Elaboración interfaz gráfica y mapa de navegación app móvil</v>
      </c>
      <c r="B30" t="str">
        <f ca="1"/>
        <v>GA5-220501095-AA1-EV07</v>
      </c>
      <c r="C30" s="3">
        <f ca="1"/>
        <v>46062</v>
      </c>
      <c r="D30" s="3">
        <f ca="1"/>
        <v>46075</v>
      </c>
      <c r="E30" t="str">
        <f ca="1"/>
        <v>Vencida</v>
      </c>
    </row>
    <row r="31" spans="1:6" x14ac:dyDescent="0.2">
      <c r="A31" t="str">
        <f ca="1"/>
        <v>Maquetación interfaz gráfica en XML - Android</v>
      </c>
      <c r="B31" t="str">
        <f ca="1"/>
        <v>GA5-220501095-AA1-EV08</v>
      </c>
      <c r="C31" s="3">
        <f ca="1"/>
        <v>46062</v>
      </c>
      <c r="D31" s="3">
        <f ca="1"/>
        <v>46075</v>
      </c>
      <c r="E31" t="str">
        <f ca="1"/>
        <v>Vencida</v>
      </c>
    </row>
  </sheetData>
  <conditionalFormatting sqref="A2">
    <cfRule type="duplicateValues" dxfId="5" priority="5"/>
  </conditionalFormatting>
  <conditionalFormatting sqref="A1:F1">
    <cfRule type="duplicateValues" dxfId="4" priority="4"/>
  </conditionalFormatting>
  <conditionalFormatting sqref="B1">
    <cfRule type="duplicateValues" dxfId="3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EFAB0-9040-44D4-BC82-01F2CFC87092}">
  <dimension ref="A1:H8"/>
  <sheetViews>
    <sheetView showGridLines="0" topLeftCell="G1" workbookViewId="0">
      <selection activeCell="H2" sqref="H2"/>
    </sheetView>
  </sheetViews>
  <sheetFormatPr defaultRowHeight="15" x14ac:dyDescent="0.2"/>
  <cols>
    <col min="1" max="1" width="55.15234375" bestFit="1" customWidth="1"/>
    <col min="2" max="2" width="23.9453125" bestFit="1" customWidth="1"/>
    <col min="3" max="3" width="19.90625" bestFit="1" customWidth="1"/>
    <col min="4" max="4" width="14.125" bestFit="1" customWidth="1"/>
    <col min="5" max="5" width="10.22265625" bestFit="1" customWidth="1"/>
    <col min="6" max="6" width="14.390625" bestFit="1" customWidth="1"/>
    <col min="8" max="8" width="20.3125" bestFit="1" customWidth="1"/>
  </cols>
  <sheetData>
    <row r="1" spans="1:8" x14ac:dyDescent="0.2">
      <c r="A1" s="40" t="s">
        <v>0</v>
      </c>
      <c r="B1" s="40" t="s">
        <v>1</v>
      </c>
      <c r="C1" s="41" t="s">
        <v>2</v>
      </c>
      <c r="D1" s="41" t="s">
        <v>3</v>
      </c>
      <c r="E1" s="41" t="s">
        <v>141</v>
      </c>
      <c r="F1" s="41" t="s">
        <v>143</v>
      </c>
      <c r="H1" s="46" t="s">
        <v>144</v>
      </c>
    </row>
    <row r="2" spans="1:8" x14ac:dyDescent="0.2">
      <c r="A2" s="43" t="str" cm="1">
        <f t="array" aca="1" ref="A2:E6" ca="1">_xlfn._xlws.FILTER(Tareas[[Tarea]:[¿Vencida?]],Tareas[Estado]="Proxima"," ")</f>
        <v>Cuestionario (Inglés GA3-AA1)</v>
      </c>
      <c r="B2" s="44" t="str">
        <f ca="1"/>
        <v>GA3-240202501-AA1-EV01</v>
      </c>
      <c r="C2" s="45">
        <f ca="1"/>
        <v>45888</v>
      </c>
      <c r="D2" s="45">
        <f ca="1"/>
        <v>46083</v>
      </c>
      <c r="E2" s="44" t="str">
        <f ca="1"/>
        <v>Pendiente</v>
      </c>
      <c r="F2" s="42"/>
      <c r="H2" s="51">
        <f ca="1">COUNTA(A2:A8)</f>
        <v>5</v>
      </c>
    </row>
    <row r="3" spans="1:8" x14ac:dyDescent="0.2">
      <c r="A3" s="44" t="str">
        <f ca="1"/>
        <v>Cuestionario (Inglés GA3-AA2)</v>
      </c>
      <c r="B3" s="44" t="str">
        <f ca="1"/>
        <v>GA3-240202501-AA2-EV01</v>
      </c>
      <c r="C3" s="45">
        <f ca="1"/>
        <v>45908</v>
      </c>
      <c r="D3" s="45">
        <f ca="1"/>
        <v>46083</v>
      </c>
      <c r="E3" s="44" t="str">
        <f ca="1"/>
        <v>Pendiente</v>
      </c>
      <c r="F3" s="42"/>
    </row>
    <row r="4" spans="1:8" x14ac:dyDescent="0.2">
      <c r="A4" s="44" t="str">
        <f ca="1"/>
        <v>Cuestionario (Inglés GA4)</v>
      </c>
      <c r="B4" s="44" t="str">
        <f ca="1"/>
        <v>GA4-240202501-AA1-EV01</v>
      </c>
      <c r="C4" s="45">
        <f ca="1"/>
        <v>45957</v>
      </c>
      <c r="D4" s="45">
        <f ca="1"/>
        <v>46083</v>
      </c>
      <c r="E4" s="44" t="str">
        <f ca="1"/>
        <v>Pendiente</v>
      </c>
      <c r="F4" s="42"/>
    </row>
    <row r="5" spans="1:8" x14ac:dyDescent="0.2">
      <c r="A5" s="44" t="str">
        <f ca="1"/>
        <v>Diagrama de flujo proceso laboral (Inglés)</v>
      </c>
      <c r="B5" s="44" t="str">
        <f ca="1"/>
        <v>GA5-240202501-AA1-EV01</v>
      </c>
      <c r="C5" s="45">
        <f ca="1"/>
        <v>46076</v>
      </c>
      <c r="D5" s="45">
        <f ca="1"/>
        <v>46083</v>
      </c>
      <c r="E5" s="44" t="str">
        <f ca="1"/>
        <v>Pendiente</v>
      </c>
      <c r="F5" s="42"/>
    </row>
    <row r="6" spans="1:8" x14ac:dyDescent="0.2">
      <c r="A6" s="44" t="str">
        <f ca="1"/>
        <v>Video etapas básicas proceso empresa (Inglés)</v>
      </c>
      <c r="B6" s="44" t="str">
        <f ca="1"/>
        <v>GA5-240202501-AA1-EV03</v>
      </c>
      <c r="C6" s="45">
        <f ca="1"/>
        <v>46076</v>
      </c>
      <c r="D6" s="45">
        <f ca="1"/>
        <v>46083</v>
      </c>
      <c r="E6" s="44" t="str">
        <f ca="1"/>
        <v>Pendiente</v>
      </c>
      <c r="F6" s="42"/>
    </row>
    <row r="7" spans="1:8" x14ac:dyDescent="0.2">
      <c r="A7" s="44"/>
      <c r="B7" s="44"/>
      <c r="C7" s="45"/>
      <c r="D7" s="45"/>
      <c r="E7" s="44"/>
      <c r="F7" s="42"/>
    </row>
    <row r="8" spans="1:8" x14ac:dyDescent="0.2">
      <c r="A8" s="44"/>
      <c r="B8" s="44"/>
      <c r="C8" s="45"/>
      <c r="D8" s="45"/>
      <c r="E8" s="44"/>
      <c r="F8" s="42"/>
    </row>
  </sheetData>
  <conditionalFormatting sqref="A2">
    <cfRule type="duplicateValues" dxfId="2" priority="3"/>
  </conditionalFormatting>
  <conditionalFormatting sqref="A1:F1">
    <cfRule type="duplicateValues" dxfId="1" priority="2"/>
  </conditionalFormatting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🎓 ADSO Tracker</vt:lpstr>
      <vt:lpstr>Lista Desplegable</vt:lpstr>
      <vt:lpstr>📊  Dashboard</vt:lpstr>
      <vt:lpstr>⏰ Expired</vt:lpstr>
      <vt:lpstr>⏳Expired Soon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Andres Andrade</cp:lastModifiedBy>
  <dcterms:created xsi:type="dcterms:W3CDTF">2026-02-21T22:44:35Z</dcterms:created>
  <dcterms:modified xsi:type="dcterms:W3CDTF">2026-02-22T14:40:05Z</dcterms:modified>
</cp:coreProperties>
</file>